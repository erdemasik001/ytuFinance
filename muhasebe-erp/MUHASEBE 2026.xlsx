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6.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BuÇalışmaKitabı"/>
  <mc:AlternateContent xmlns:mc="http://schemas.openxmlformats.org/markup-compatibility/2006">
    <mc:Choice Requires="x15">
      <x15ac:absPath xmlns:x15ac="http://schemas.microsoft.com/office/spreadsheetml/2010/11/ac" url="C:\Users\ADEM-PC\Desktop\"/>
    </mc:Choice>
  </mc:AlternateContent>
  <xr:revisionPtr revIDLastSave="0" documentId="13_ncr:1_{AFEB86D8-D851-4030-ADAB-2B55ED29A09C}" xr6:coauthVersionLast="47" xr6:coauthVersionMax="47" xr10:uidLastSave="{00000000-0000-0000-0000-000000000000}"/>
  <bookViews>
    <workbookView xWindow="-120" yWindow="-120" windowWidth="29040" windowHeight="15840" tabRatio="930" activeTab="8" xr2:uid="{00000000-000D-0000-FFFF-FFFF00000000}"/>
  </bookViews>
  <sheets>
    <sheet name="DONE" sheetId="26" r:id="rId1"/>
    <sheet name="ANA SAYFA" sheetId="68" r:id="rId2"/>
    <sheet name="FATURALAR" sheetId="69" r:id="rId3"/>
    <sheet name="GELİR İCMAL" sheetId="30" r:id="rId4"/>
    <sheet name="GİDER İCMAL" sheetId="66" r:id="rId5"/>
    <sheet name="GELEN İŞLER" sheetId="60" r:id="rId6"/>
    <sheet name="GİDEN İŞLER" sheetId="65" r:id="rId7"/>
    <sheet name="EKB HİZMET BEDELİ 2026" sheetId="67" r:id="rId8"/>
    <sheet name="YEMEK TAKİBİ" sheetId="46"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cn.WorksheetConnection_PLANAKSMUHASEBE.xlsxTablo1" hidden="1">Tablo1</definedName>
    <definedName name="Dilimleyici_İŞİN_DURUMU21111111">#N/A</definedName>
    <definedName name="Dilimleyici_İŞİN_DURUMU211111111">#N/A</definedName>
    <definedName name="Dilimleyici_İŞİN_TÜRÜ1111111">#N/A</definedName>
    <definedName name="Dilimleyici_İŞİN_TÜRÜ11111111">#N/A</definedName>
    <definedName name="Dilimleyici_MÜŞTERİ_ADI11111111">#N/A</definedName>
    <definedName name="Dilimleyici_MÜŞTERİ_ADI111111111">#N/A</definedName>
    <definedName name="Dilimleyici_ÖDENME_DURUMU21111111">#N/A</definedName>
    <definedName name="Dilimleyici_ÖDENME_DURUMU211111111">#N/A</definedName>
    <definedName name="DolarKuru">[1]Ürünlerim!$G$2</definedName>
    <definedName name="EuroKuru">[1]Ürünlerim!$G$3</definedName>
    <definedName name="Lst_Banka_Kasa">[2]!Tbl_Banka_Kasa[Banka-Kasa]</definedName>
    <definedName name="Lst_Bankalarım">[3]!Tablo134[Banka Adı]</definedName>
    <definedName name="Lst_Cariler">[1]!Tablo3[Cari Adı]</definedName>
    <definedName name="lst_EmlakTipi">[4]!tbl_ayar_EmlakTipi[Emlak Tipi]</definedName>
    <definedName name="Lst_Maliye_Kategorileri">OFFSET([2]Pvt_Listeler!$A$3,1,0,COUNTA([2]Pvt_Listeler!$A:$A)-1,1)</definedName>
    <definedName name="Lst_Müşteriler">[3]!Tablo1[Firma Adı]</definedName>
    <definedName name="Lst_Nakit_Vadeli">[1]!Tablo13[Nakit / Vadeli Seçimi]</definedName>
    <definedName name="Lst_Ödeme_Yön">[2]!Tbl_Ödeme_Yön[Ödeme Yöntemi]</definedName>
    <definedName name="Lst_ÖdemeDurumu">[3]!Tablo1345[Ödeme Durumu]</definedName>
    <definedName name="lst_Satılık_Kiralık">[4]!tbl_ayar_Satılık[Satılık/Kiralık]</definedName>
    <definedName name="Lst_Satış_Per">[5]!Tablo2[Ad Soyad]</definedName>
    <definedName name="Lst_SatışPer">#REF!</definedName>
    <definedName name="Lst_Servis">[2]!Tbl_Sektör_Kategori[Servis]</definedName>
    <definedName name="Lst_Tedarikçiler">[3]!Tablo13[Firma Adı]</definedName>
    <definedName name="Lst_TümHisseler">[6]!TÜM_HİSSELER_1[Menkul]</definedName>
    <definedName name="Lst_Ürün_Ailesi">[2]!Tbl_Ürün_Ailesi[Ürün Ailesi]</definedName>
    <definedName name="Lst_Ürünler">[1]!Tablo4[Ürün Adı]</definedName>
    <definedName name="Lst_Ürünlerim">[7]!Tablo2[Ürün Adı]</definedName>
    <definedName name="Lst_VergiOranları">[3]!Tablo13456[Vergi Oranları]</definedName>
    <definedName name="Lst_Yıl_Ay">[2]!Tablo8[Tarihler]</definedName>
    <definedName name="MailBody1">[8]AnaSayfa!$C$9</definedName>
    <definedName name="MailBody2">[8]AnaSayfa!$C$10</definedName>
    <definedName name="MailBody3">[8]AnaSayfa!$C$11</definedName>
    <definedName name="MailBody4">[8]AnaSayfa!$C$12</definedName>
    <definedName name="MailBody5">[8]AnaSayfa!$C$13</definedName>
    <definedName name="MailBodyHello">[8]AnaSayfa!$C$8</definedName>
    <definedName name="MailSign">[8]AnaSayfa!$C$14</definedName>
    <definedName name="oran">[9]Ürün_Fiyat_Listesi!$E$3</definedName>
    <definedName name="rng_arama">FATURALAR!#REF!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9"/>
        <x14:slicerCache r:id="rId20"/>
        <x14:slicerCache r:id="rId21"/>
        <x14:slicerCache r:id="rId22"/>
        <x14:slicerCache r:id="rId23"/>
        <x14:slicerCache r:id="rId24"/>
        <x14:slicerCache r:id="rId25"/>
        <x14:slicerCache r:id="rId2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o1" name="Tablo1" connection="WorksheetConnection_PLAN-AKS MUHASEBE.xlsx!Tablo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3" i="65" l="1"/>
  <c r="G42" i="69" l="1"/>
  <c r="I42" i="69" l="1"/>
  <c r="H42" i="69"/>
  <c r="I68" i="65" l="1"/>
  <c r="I64" i="65"/>
  <c r="K381" i="60" l="1"/>
  <c r="C4" i="66"/>
  <c r="C5" i="66"/>
  <c r="C6" i="66"/>
  <c r="C7" i="66"/>
  <c r="C8" i="66"/>
  <c r="C9" i="66"/>
  <c r="C10" i="66"/>
  <c r="C11" i="66"/>
  <c r="C12" i="66"/>
  <c r="C13" i="66"/>
  <c r="C14" i="66"/>
  <c r="C15" i="66"/>
  <c r="C16" i="66"/>
  <c r="C17" i="66"/>
  <c r="C18" i="66"/>
  <c r="C19" i="66"/>
  <c r="C20" i="66"/>
  <c r="C21" i="66"/>
  <c r="C22" i="66"/>
  <c r="C23" i="66"/>
  <c r="C24" i="66"/>
  <c r="C25" i="66"/>
  <c r="C26" i="66"/>
  <c r="C27" i="66"/>
  <c r="C28" i="66"/>
  <c r="C29" i="66"/>
  <c r="C30" i="66"/>
  <c r="C31" i="66"/>
  <c r="C32" i="66"/>
  <c r="C33" i="66"/>
  <c r="C34" i="66"/>
  <c r="C35" i="66"/>
  <c r="C36" i="66"/>
  <c r="C37" i="66"/>
  <c r="C38" i="66"/>
  <c r="C39" i="66"/>
  <c r="C40" i="66"/>
  <c r="C41" i="66"/>
  <c r="C42" i="66"/>
  <c r="C43" i="66"/>
  <c r="C44" i="66"/>
  <c r="C45" i="66"/>
  <c r="C46" i="66"/>
  <c r="C47" i="66"/>
  <c r="C48" i="66"/>
  <c r="C49" i="66"/>
  <c r="C50" i="66"/>
  <c r="C51" i="66"/>
  <c r="C52" i="66"/>
  <c r="C53" i="66"/>
  <c r="C54" i="66"/>
  <c r="C55" i="66"/>
  <c r="C56" i="66"/>
  <c r="C57" i="66"/>
  <c r="C58" i="66"/>
  <c r="C59" i="66"/>
  <c r="C60" i="66"/>
  <c r="C61" i="66"/>
  <c r="C62" i="66"/>
  <c r="C63" i="66"/>
  <c r="C64" i="66"/>
  <c r="C65" i="66"/>
  <c r="C66" i="66"/>
  <c r="C67" i="66"/>
  <c r="C68" i="66"/>
  <c r="C69" i="66"/>
  <c r="C70" i="66"/>
  <c r="C71" i="66"/>
  <c r="C72" i="66"/>
  <c r="C73" i="66"/>
  <c r="C74" i="66"/>
  <c r="C75" i="66"/>
  <c r="C76" i="66"/>
  <c r="C77" i="66"/>
  <c r="C78" i="66"/>
  <c r="C79" i="66"/>
  <c r="C80" i="66"/>
  <c r="C81" i="66"/>
  <c r="C82" i="66"/>
  <c r="C83" i="66"/>
  <c r="C84" i="66"/>
  <c r="C85" i="66"/>
  <c r="C86" i="66"/>
  <c r="C87" i="66"/>
  <c r="C88" i="66"/>
  <c r="C89" i="66"/>
  <c r="C90" i="66"/>
  <c r="C91" i="66"/>
  <c r="C92" i="66"/>
  <c r="C93" i="66"/>
  <c r="C94" i="66"/>
  <c r="C95" i="66"/>
  <c r="C96" i="66"/>
  <c r="C97" i="66"/>
  <c r="C98" i="66"/>
  <c r="C99" i="66"/>
  <c r="C100" i="66"/>
  <c r="C101" i="66"/>
  <c r="C102" i="66"/>
  <c r="C103" i="66"/>
  <c r="C104" i="66"/>
  <c r="C105" i="66"/>
  <c r="C106" i="66"/>
  <c r="C107" i="66"/>
  <c r="C108" i="66"/>
  <c r="C109" i="66"/>
  <c r="C110" i="66"/>
  <c r="C111" i="66"/>
  <c r="C112" i="66"/>
  <c r="C113" i="66"/>
  <c r="C114" i="66"/>
  <c r="C115" i="66"/>
  <c r="C116" i="66"/>
  <c r="C117" i="66"/>
  <c r="C118" i="66"/>
  <c r="C119" i="66"/>
  <c r="C120" i="66"/>
  <c r="C121" i="66"/>
  <c r="B4" i="66"/>
  <c r="B5" i="66"/>
  <c r="B6" i="66"/>
  <c r="B7" i="66"/>
  <c r="B8" i="66"/>
  <c r="B9" i="66"/>
  <c r="B10" i="66"/>
  <c r="B11" i="66"/>
  <c r="B12" i="66"/>
  <c r="B13" i="66"/>
  <c r="B14" i="66"/>
  <c r="B15" i="66"/>
  <c r="B16" i="66"/>
  <c r="B17" i="66"/>
  <c r="B18" i="66"/>
  <c r="B19" i="66"/>
  <c r="B20" i="66"/>
  <c r="B21" i="66"/>
  <c r="B22" i="66"/>
  <c r="B23" i="66"/>
  <c r="B24" i="66"/>
  <c r="B25" i="66"/>
  <c r="B26" i="66"/>
  <c r="B27" i="66"/>
  <c r="B28" i="66"/>
  <c r="B29" i="66"/>
  <c r="B30" i="66"/>
  <c r="B31" i="66"/>
  <c r="B32" i="66"/>
  <c r="B33" i="66"/>
  <c r="B34" i="66"/>
  <c r="B35" i="66"/>
  <c r="B36" i="66"/>
  <c r="B37" i="66"/>
  <c r="B38" i="66"/>
  <c r="B39" i="66"/>
  <c r="B40" i="66"/>
  <c r="B41" i="66"/>
  <c r="B42" i="66"/>
  <c r="B43" i="66"/>
  <c r="B44" i="66"/>
  <c r="B45" i="66"/>
  <c r="B46" i="66"/>
  <c r="B47" i="66"/>
  <c r="B48" i="66"/>
  <c r="B49" i="66"/>
  <c r="B50" i="66"/>
  <c r="B51" i="66"/>
  <c r="B52" i="66"/>
  <c r="B53" i="66"/>
  <c r="B54" i="66"/>
  <c r="B55" i="66"/>
  <c r="B56" i="66"/>
  <c r="B57" i="66"/>
  <c r="B58" i="66"/>
  <c r="B59" i="66"/>
  <c r="B60" i="66"/>
  <c r="B61" i="66"/>
  <c r="B62" i="66"/>
  <c r="B63" i="66"/>
  <c r="B64" i="66"/>
  <c r="B65" i="66"/>
  <c r="B66" i="66"/>
  <c r="B67" i="66"/>
  <c r="B68" i="66"/>
  <c r="B69" i="66"/>
  <c r="B70" i="66"/>
  <c r="B71" i="66"/>
  <c r="B72" i="66"/>
  <c r="B73" i="66"/>
  <c r="B74" i="66"/>
  <c r="B75" i="66"/>
  <c r="B76" i="66"/>
  <c r="B77" i="66"/>
  <c r="B78" i="66"/>
  <c r="B79" i="66"/>
  <c r="B80" i="66"/>
  <c r="B81" i="66"/>
  <c r="B82" i="66"/>
  <c r="B83" i="66"/>
  <c r="B84" i="66"/>
  <c r="B85" i="66"/>
  <c r="B86" i="66"/>
  <c r="B87" i="66"/>
  <c r="B88" i="66"/>
  <c r="B89" i="66"/>
  <c r="B90" i="66"/>
  <c r="B91" i="66"/>
  <c r="B92" i="66"/>
  <c r="B93" i="66"/>
  <c r="B94" i="66"/>
  <c r="B95" i="66"/>
  <c r="B96" i="66"/>
  <c r="B97" i="66"/>
  <c r="B98" i="66"/>
  <c r="B99" i="66"/>
  <c r="B100" i="66"/>
  <c r="B101" i="66"/>
  <c r="B102" i="66"/>
  <c r="B103" i="66"/>
  <c r="B104" i="66"/>
  <c r="B105" i="66"/>
  <c r="B106" i="66"/>
  <c r="B107" i="66"/>
  <c r="B108" i="66"/>
  <c r="B109" i="66"/>
  <c r="B110" i="66"/>
  <c r="B111" i="66"/>
  <c r="B112" i="66"/>
  <c r="B113" i="66"/>
  <c r="B114" i="66"/>
  <c r="B115" i="66"/>
  <c r="B116" i="66"/>
  <c r="B117" i="66"/>
  <c r="B118" i="66"/>
  <c r="B119" i="66"/>
  <c r="B120" i="66"/>
  <c r="B121" i="66"/>
  <c r="C3" i="66"/>
  <c r="B3" i="66"/>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B4" i="30"/>
  <c r="B6" i="30"/>
  <c r="B7" i="30"/>
  <c r="B8" i="30"/>
  <c r="B9" i="30"/>
  <c r="B10" i="30"/>
  <c r="B11" i="30"/>
  <c r="B12" i="30"/>
  <c r="B15" i="30"/>
  <c r="B16" i="30"/>
  <c r="B17" i="30"/>
  <c r="B18" i="30"/>
  <c r="B20" i="30"/>
  <c r="B22" i="30"/>
  <c r="B23" i="30"/>
  <c r="B24" i="30"/>
  <c r="B25" i="30"/>
  <c r="B26" i="30"/>
  <c r="B27" i="30"/>
  <c r="B28" i="30"/>
  <c r="B29" i="30"/>
  <c r="B30" i="30"/>
  <c r="B31" i="30"/>
  <c r="B32" i="30"/>
  <c r="B33" i="30"/>
  <c r="B34" i="30"/>
  <c r="B35" i="30"/>
  <c r="B37" i="30"/>
  <c r="B38" i="30"/>
  <c r="B39" i="30"/>
  <c r="B40" i="30"/>
  <c r="B41" i="30"/>
  <c r="B42" i="30"/>
  <c r="B43" i="30"/>
  <c r="B44" i="30"/>
  <c r="B45" i="30"/>
  <c r="B46" i="30"/>
  <c r="B47" i="30"/>
  <c r="B48" i="30"/>
  <c r="B49" i="30"/>
  <c r="B50" i="30"/>
  <c r="B51" i="30"/>
  <c r="B52" i="30"/>
  <c r="B53" i="30"/>
  <c r="B54" i="30"/>
  <c r="B55" i="30"/>
  <c r="B56" i="30"/>
  <c r="B57" i="30"/>
  <c r="B58" i="30"/>
  <c r="B59" i="30"/>
  <c r="B60" i="30"/>
  <c r="B61" i="30"/>
  <c r="B62" i="30"/>
  <c r="B63" i="30"/>
  <c r="B64" i="30"/>
  <c r="B65" i="30"/>
  <c r="B66" i="30"/>
  <c r="B67" i="30"/>
  <c r="B68" i="30"/>
  <c r="B69" i="30"/>
  <c r="B70" i="30"/>
  <c r="B71" i="30"/>
  <c r="B72" i="30"/>
  <c r="B73" i="30"/>
  <c r="B74" i="30"/>
  <c r="B75" i="30"/>
  <c r="B76" i="30"/>
  <c r="B77" i="30"/>
  <c r="B79" i="30"/>
  <c r="B80" i="30"/>
  <c r="B81" i="30"/>
  <c r="B82" i="30"/>
  <c r="B83" i="30"/>
  <c r="B84" i="30"/>
  <c r="B85" i="30"/>
  <c r="B86" i="30"/>
  <c r="B87" i="30"/>
  <c r="B88" i="30"/>
  <c r="B89" i="30"/>
  <c r="B90" i="30"/>
  <c r="B91" i="30"/>
  <c r="B92" i="30"/>
  <c r="B93" i="30"/>
  <c r="B94" i="30"/>
  <c r="B95" i="30"/>
  <c r="B96" i="30"/>
  <c r="B97" i="30"/>
  <c r="B98" i="30"/>
  <c r="B99" i="30"/>
  <c r="B100" i="30"/>
  <c r="B101" i="30"/>
  <c r="B102" i="30"/>
  <c r="B103" i="30"/>
  <c r="B104" i="30"/>
  <c r="B105" i="30"/>
  <c r="B106" i="30"/>
  <c r="B107" i="30"/>
  <c r="B108" i="30"/>
  <c r="B109" i="30"/>
  <c r="B110" i="30"/>
  <c r="B111" i="30"/>
  <c r="B112" i="30"/>
  <c r="B113" i="30"/>
  <c r="B114" i="30"/>
  <c r="B115" i="30"/>
  <c r="B116" i="30"/>
  <c r="B117" i="30"/>
  <c r="B118" i="30"/>
  <c r="B119" i="30"/>
  <c r="B120" i="30"/>
  <c r="B121" i="30"/>
  <c r="C3" i="30" l="1"/>
  <c r="B13" i="30" l="1"/>
  <c r="K252" i="60"/>
  <c r="I33" i="65" l="1"/>
  <c r="I31" i="65"/>
  <c r="B78" i="30"/>
  <c r="I28" i="65" l="1"/>
  <c r="B21" i="30"/>
  <c r="I25" i="65" l="1"/>
  <c r="I24" i="65" l="1"/>
  <c r="I11" i="67" l="1"/>
  <c r="D11" i="67"/>
  <c r="Q10" i="67"/>
  <c r="J10" i="67"/>
  <c r="E10" i="67"/>
  <c r="Q9" i="67"/>
  <c r="J9" i="67"/>
  <c r="J12" i="67" s="1"/>
  <c r="E9" i="67"/>
  <c r="Q8" i="67"/>
  <c r="J8" i="67"/>
  <c r="E8" i="67"/>
  <c r="Q7" i="67"/>
  <c r="J7" i="67"/>
  <c r="E7" i="67"/>
  <c r="Q6" i="67"/>
  <c r="J6" i="67"/>
  <c r="E6" i="67"/>
  <c r="Q5" i="67"/>
  <c r="J5" i="67"/>
  <c r="E5" i="67"/>
  <c r="Q4" i="67"/>
  <c r="J4" i="67"/>
  <c r="E4" i="67"/>
  <c r="Q3" i="67"/>
  <c r="J3" i="67"/>
  <c r="E3" i="67"/>
  <c r="E12" i="67" s="1"/>
  <c r="I21" i="65" l="1"/>
  <c r="B36" i="30" l="1"/>
  <c r="B19" i="30" l="1"/>
  <c r="B5" i="30" l="1"/>
  <c r="B14" i="30" l="1"/>
  <c r="B3" i="30" l="1"/>
  <c r="AJ34" i="46"/>
  <c r="AL34" i="46" s="1"/>
  <c r="AJ33" i="46"/>
  <c r="AL33" i="46" s="1"/>
  <c r="AJ32" i="46"/>
  <c r="AL32" i="46" s="1"/>
  <c r="AL35" i="46" s="1"/>
  <c r="AJ28" i="46"/>
  <c r="AL28" i="46" s="1"/>
  <c r="AJ27" i="46"/>
  <c r="AL27" i="46" s="1"/>
  <c r="AJ26" i="46"/>
  <c r="AL26" i="46" s="1"/>
  <c r="AL29" i="46" s="1"/>
  <c r="AJ22" i="46"/>
  <c r="AL22" i="46" s="1"/>
  <c r="AJ21" i="46"/>
  <c r="AL21" i="46" s="1"/>
  <c r="AJ20" i="46"/>
  <c r="AL20" i="46" s="1"/>
  <c r="AL23" i="46" s="1"/>
  <c r="AJ16" i="46"/>
  <c r="AL16" i="46" s="1"/>
  <c r="AJ15" i="46"/>
  <c r="AL15" i="46" s="1"/>
  <c r="AJ14" i="46"/>
  <c r="AL14" i="46" s="1"/>
  <c r="AJ9" i="46"/>
  <c r="AL9" i="46" s="1"/>
  <c r="AJ10" i="46"/>
  <c r="AL10" i="46" s="1"/>
  <c r="AJ8" i="46"/>
  <c r="AL8" i="46" s="1"/>
  <c r="N4" i="66"/>
  <c r="P4" i="66" s="1"/>
  <c r="N5" i="66"/>
  <c r="P5" i="66" s="1"/>
  <c r="N6" i="66"/>
  <c r="P6" i="66" s="1"/>
  <c r="N7" i="66"/>
  <c r="P7" i="66" s="1"/>
  <c r="N8" i="66"/>
  <c r="P8" i="66" s="1"/>
  <c r="N9" i="66"/>
  <c r="P9" i="66" s="1"/>
  <c r="N10" i="66"/>
  <c r="P10" i="66" s="1"/>
  <c r="N11" i="66"/>
  <c r="P11" i="66" s="1"/>
  <c r="N12" i="66"/>
  <c r="P12" i="66" s="1"/>
  <c r="N13" i="66"/>
  <c r="P13" i="66" s="1"/>
  <c r="N14" i="66"/>
  <c r="P14" i="66" s="1"/>
  <c r="N15" i="66"/>
  <c r="P15" i="66" s="1"/>
  <c r="N16" i="66"/>
  <c r="P16" i="66" s="1"/>
  <c r="N17" i="66"/>
  <c r="P17" i="66" s="1"/>
  <c r="N18" i="66"/>
  <c r="P18" i="66" s="1"/>
  <c r="N19" i="66"/>
  <c r="P19" i="66" s="1"/>
  <c r="N20" i="66"/>
  <c r="P20" i="66" s="1"/>
  <c r="N21" i="66"/>
  <c r="P21" i="66" s="1"/>
  <c r="N22" i="66"/>
  <c r="P22" i="66" s="1"/>
  <c r="N23" i="66"/>
  <c r="P23" i="66" s="1"/>
  <c r="N24" i="66"/>
  <c r="P24" i="66" s="1"/>
  <c r="N25" i="66"/>
  <c r="P25" i="66" s="1"/>
  <c r="N26" i="66"/>
  <c r="P26" i="66" s="1"/>
  <c r="N27" i="66"/>
  <c r="P27" i="66" s="1"/>
  <c r="N28" i="66"/>
  <c r="P28" i="66" s="1"/>
  <c r="N29" i="66"/>
  <c r="P29" i="66" s="1"/>
  <c r="N30" i="66"/>
  <c r="P30" i="66" s="1"/>
  <c r="N31" i="66"/>
  <c r="P31" i="66" s="1"/>
  <c r="N32" i="66"/>
  <c r="P32" i="66" s="1"/>
  <c r="N33" i="66"/>
  <c r="P33" i="66" s="1"/>
  <c r="N34" i="66"/>
  <c r="P34" i="66" s="1"/>
  <c r="N35" i="66"/>
  <c r="P35" i="66" s="1"/>
  <c r="N36" i="66"/>
  <c r="P36" i="66" s="1"/>
  <c r="N37" i="66"/>
  <c r="P37" i="66" s="1"/>
  <c r="N38" i="66"/>
  <c r="P38" i="66" s="1"/>
  <c r="N39" i="66"/>
  <c r="P39" i="66" s="1"/>
  <c r="N40" i="66"/>
  <c r="P40" i="66" s="1"/>
  <c r="N41" i="66"/>
  <c r="P41" i="66" s="1"/>
  <c r="N42" i="66"/>
  <c r="P42" i="66" s="1"/>
  <c r="N43" i="66"/>
  <c r="P43" i="66" s="1"/>
  <c r="N44" i="66"/>
  <c r="P44" i="66" s="1"/>
  <c r="N45" i="66"/>
  <c r="P45" i="66" s="1"/>
  <c r="N46" i="66"/>
  <c r="P46" i="66" s="1"/>
  <c r="N47" i="66"/>
  <c r="P47" i="66" s="1"/>
  <c r="N48" i="66"/>
  <c r="P48" i="66" s="1"/>
  <c r="N49" i="66"/>
  <c r="P49" i="66" s="1"/>
  <c r="N50" i="66"/>
  <c r="P50" i="66" s="1"/>
  <c r="N51" i="66"/>
  <c r="P51" i="66" s="1"/>
  <c r="N52" i="66"/>
  <c r="P52" i="66" s="1"/>
  <c r="N53" i="66"/>
  <c r="P53" i="66" s="1"/>
  <c r="N54" i="66"/>
  <c r="P54" i="66" s="1"/>
  <c r="N55" i="66"/>
  <c r="P55" i="66" s="1"/>
  <c r="N56" i="66"/>
  <c r="P56" i="66" s="1"/>
  <c r="N57" i="66"/>
  <c r="P57" i="66" s="1"/>
  <c r="N58" i="66"/>
  <c r="P58" i="66" s="1"/>
  <c r="N59" i="66"/>
  <c r="P59" i="66" s="1"/>
  <c r="N60" i="66"/>
  <c r="P60" i="66" s="1"/>
  <c r="N61" i="66"/>
  <c r="P61" i="66" s="1"/>
  <c r="N62" i="66"/>
  <c r="P62" i="66" s="1"/>
  <c r="N63" i="66"/>
  <c r="P63" i="66" s="1"/>
  <c r="N64" i="66"/>
  <c r="P64" i="66" s="1"/>
  <c r="N65" i="66"/>
  <c r="P65" i="66" s="1"/>
  <c r="N66" i="66"/>
  <c r="P66" i="66" s="1"/>
  <c r="N67" i="66"/>
  <c r="P67" i="66" s="1"/>
  <c r="N68" i="66"/>
  <c r="P68" i="66" s="1"/>
  <c r="N69" i="66"/>
  <c r="P69" i="66" s="1"/>
  <c r="N70" i="66"/>
  <c r="P70" i="66" s="1"/>
  <c r="N71" i="66"/>
  <c r="P71" i="66" s="1"/>
  <c r="N72" i="66"/>
  <c r="P72" i="66" s="1"/>
  <c r="N73" i="66"/>
  <c r="P73" i="66" s="1"/>
  <c r="N74" i="66"/>
  <c r="P74" i="66" s="1"/>
  <c r="N75" i="66"/>
  <c r="P75" i="66" s="1"/>
  <c r="N76" i="66"/>
  <c r="P76" i="66" s="1"/>
  <c r="N77" i="66"/>
  <c r="P77" i="66" s="1"/>
  <c r="N78" i="66"/>
  <c r="P78" i="66" s="1"/>
  <c r="N79" i="66"/>
  <c r="P79" i="66" s="1"/>
  <c r="N80" i="66"/>
  <c r="P80" i="66" s="1"/>
  <c r="N81" i="66"/>
  <c r="P81" i="66" s="1"/>
  <c r="N82" i="66"/>
  <c r="P82" i="66" s="1"/>
  <c r="N83" i="66"/>
  <c r="P83" i="66" s="1"/>
  <c r="N84" i="66"/>
  <c r="P84" i="66" s="1"/>
  <c r="N85" i="66"/>
  <c r="P85" i="66" s="1"/>
  <c r="N86" i="66"/>
  <c r="P86" i="66" s="1"/>
  <c r="N87" i="66"/>
  <c r="P87" i="66" s="1"/>
  <c r="N88" i="66"/>
  <c r="P88" i="66" s="1"/>
  <c r="N89" i="66"/>
  <c r="P89" i="66" s="1"/>
  <c r="N90" i="66"/>
  <c r="P90" i="66" s="1"/>
  <c r="N91" i="66"/>
  <c r="P91" i="66" s="1"/>
  <c r="N92" i="66"/>
  <c r="P92" i="66" s="1"/>
  <c r="N93" i="66"/>
  <c r="P93" i="66" s="1"/>
  <c r="N94" i="66"/>
  <c r="P94" i="66" s="1"/>
  <c r="N95" i="66"/>
  <c r="P95" i="66" s="1"/>
  <c r="N96" i="66"/>
  <c r="P96" i="66" s="1"/>
  <c r="N97" i="66"/>
  <c r="P97" i="66" s="1"/>
  <c r="N98" i="66"/>
  <c r="P98" i="66" s="1"/>
  <c r="N99" i="66"/>
  <c r="P99" i="66" s="1"/>
  <c r="N100" i="66"/>
  <c r="P100" i="66" s="1"/>
  <c r="N101" i="66"/>
  <c r="P101" i="66" s="1"/>
  <c r="N102" i="66"/>
  <c r="P102" i="66" s="1"/>
  <c r="N103" i="66"/>
  <c r="P103" i="66" s="1"/>
  <c r="N104" i="66"/>
  <c r="P104" i="66" s="1"/>
  <c r="N105" i="66"/>
  <c r="P105" i="66" s="1"/>
  <c r="N106" i="66"/>
  <c r="P106" i="66" s="1"/>
  <c r="N107" i="66"/>
  <c r="P107" i="66" s="1"/>
  <c r="N108" i="66"/>
  <c r="P108" i="66" s="1"/>
  <c r="N109" i="66"/>
  <c r="P109" i="66" s="1"/>
  <c r="N110" i="66"/>
  <c r="P110" i="66" s="1"/>
  <c r="N111" i="66"/>
  <c r="P111" i="66" s="1"/>
  <c r="N112" i="66"/>
  <c r="P112" i="66" s="1"/>
  <c r="N113" i="66"/>
  <c r="P113" i="66" s="1"/>
  <c r="N114" i="66"/>
  <c r="P114" i="66" s="1"/>
  <c r="N115" i="66"/>
  <c r="P115" i="66" s="1"/>
  <c r="N116" i="66"/>
  <c r="P116" i="66" s="1"/>
  <c r="N117" i="66"/>
  <c r="P117" i="66" s="1"/>
  <c r="N118" i="66"/>
  <c r="P118" i="66" s="1"/>
  <c r="N119" i="66"/>
  <c r="P119" i="66" s="1"/>
  <c r="N120" i="66"/>
  <c r="P120" i="66" s="1"/>
  <c r="N121" i="66"/>
  <c r="P121" i="66" s="1"/>
  <c r="AB122" i="66"/>
  <c r="AA122" i="66"/>
  <c r="Z122" i="66"/>
  <c r="Y122" i="66"/>
  <c r="X122" i="66"/>
  <c r="W122" i="66"/>
  <c r="V122" i="66"/>
  <c r="U122" i="66"/>
  <c r="T122" i="66"/>
  <c r="S122" i="66"/>
  <c r="R122" i="66"/>
  <c r="Q122" i="66"/>
  <c r="O122" i="66"/>
  <c r="M122" i="66"/>
  <c r="L122" i="66"/>
  <c r="K122" i="66"/>
  <c r="J122" i="66"/>
  <c r="I122" i="66"/>
  <c r="H122" i="66"/>
  <c r="G122" i="66"/>
  <c r="F122" i="66"/>
  <c r="E122" i="66"/>
  <c r="D122" i="66"/>
  <c r="C122" i="66"/>
  <c r="N4" i="30"/>
  <c r="P4" i="30" s="1"/>
  <c r="N5" i="30"/>
  <c r="P5" i="30" s="1"/>
  <c r="N6" i="30"/>
  <c r="P6" i="30" s="1"/>
  <c r="N7" i="30"/>
  <c r="P7" i="30" s="1"/>
  <c r="N8" i="30"/>
  <c r="P8" i="30" s="1"/>
  <c r="N9" i="30"/>
  <c r="P9" i="30" s="1"/>
  <c r="N10" i="30"/>
  <c r="P10" i="30" s="1"/>
  <c r="N11" i="30"/>
  <c r="P11" i="30" s="1"/>
  <c r="N12" i="30"/>
  <c r="P12" i="30" s="1"/>
  <c r="N13" i="30"/>
  <c r="P13" i="30" s="1"/>
  <c r="N14" i="30"/>
  <c r="P14" i="30" s="1"/>
  <c r="N15" i="30"/>
  <c r="P15" i="30" s="1"/>
  <c r="N16" i="30"/>
  <c r="P16" i="30" s="1"/>
  <c r="N17" i="30"/>
  <c r="P17" i="30" s="1"/>
  <c r="N18" i="30"/>
  <c r="P18" i="30" s="1"/>
  <c r="N19" i="30"/>
  <c r="P19" i="30" s="1"/>
  <c r="N20" i="30"/>
  <c r="P20" i="30" s="1"/>
  <c r="N21" i="30"/>
  <c r="P21" i="30" s="1"/>
  <c r="N22" i="30"/>
  <c r="P22" i="30" s="1"/>
  <c r="N23" i="30"/>
  <c r="P23" i="30" s="1"/>
  <c r="N24" i="30"/>
  <c r="P24" i="30" s="1"/>
  <c r="N25" i="30"/>
  <c r="P25" i="30" s="1"/>
  <c r="N26" i="30"/>
  <c r="P26" i="30" s="1"/>
  <c r="N27" i="30"/>
  <c r="P27" i="30" s="1"/>
  <c r="N28" i="30"/>
  <c r="P28" i="30" s="1"/>
  <c r="N29" i="30"/>
  <c r="P29" i="30" s="1"/>
  <c r="N30" i="30"/>
  <c r="P30" i="30" s="1"/>
  <c r="N31" i="30"/>
  <c r="P31" i="30" s="1"/>
  <c r="N32" i="30"/>
  <c r="P32" i="30" s="1"/>
  <c r="N33" i="30"/>
  <c r="P33" i="30" s="1"/>
  <c r="N34" i="30"/>
  <c r="P34" i="30" s="1"/>
  <c r="N35" i="30"/>
  <c r="P35" i="30" s="1"/>
  <c r="N36" i="30"/>
  <c r="P36" i="30" s="1"/>
  <c r="N37" i="30"/>
  <c r="P37" i="30" s="1"/>
  <c r="N38" i="30"/>
  <c r="P38" i="30" s="1"/>
  <c r="N39" i="30"/>
  <c r="P39" i="30" s="1"/>
  <c r="N40" i="30"/>
  <c r="P40" i="30" s="1"/>
  <c r="N41" i="30"/>
  <c r="P41" i="30" s="1"/>
  <c r="N42" i="30"/>
  <c r="P42" i="30" s="1"/>
  <c r="N43" i="30"/>
  <c r="P43" i="30" s="1"/>
  <c r="N44" i="30"/>
  <c r="P44" i="30" s="1"/>
  <c r="N45" i="30"/>
  <c r="P45" i="30" s="1"/>
  <c r="N46" i="30"/>
  <c r="P46" i="30" s="1"/>
  <c r="N47" i="30"/>
  <c r="P47" i="30" s="1"/>
  <c r="N48" i="30"/>
  <c r="P48" i="30" s="1"/>
  <c r="N49" i="30"/>
  <c r="P49" i="30" s="1"/>
  <c r="N50" i="30"/>
  <c r="P50" i="30" s="1"/>
  <c r="N51" i="30"/>
  <c r="P51" i="30" s="1"/>
  <c r="N52" i="30"/>
  <c r="P52" i="30" s="1"/>
  <c r="N53" i="30"/>
  <c r="P53" i="30" s="1"/>
  <c r="N54" i="30"/>
  <c r="P54" i="30" s="1"/>
  <c r="N55" i="30"/>
  <c r="P55" i="30" s="1"/>
  <c r="N56" i="30"/>
  <c r="P56" i="30" s="1"/>
  <c r="N57" i="30"/>
  <c r="P57" i="30" s="1"/>
  <c r="N58" i="30"/>
  <c r="P58" i="30" s="1"/>
  <c r="N59" i="30"/>
  <c r="P59" i="30" s="1"/>
  <c r="N60" i="30"/>
  <c r="P60" i="30" s="1"/>
  <c r="N61" i="30"/>
  <c r="P61" i="30" s="1"/>
  <c r="N62" i="30"/>
  <c r="P62" i="30" s="1"/>
  <c r="N63" i="30"/>
  <c r="P63" i="30" s="1"/>
  <c r="N64" i="30"/>
  <c r="P64" i="30" s="1"/>
  <c r="N65" i="30"/>
  <c r="P65" i="30" s="1"/>
  <c r="N66" i="30"/>
  <c r="P66" i="30" s="1"/>
  <c r="N67" i="30"/>
  <c r="P67" i="30" s="1"/>
  <c r="N68" i="30"/>
  <c r="P68" i="30" s="1"/>
  <c r="N69" i="30"/>
  <c r="P69" i="30" s="1"/>
  <c r="N70" i="30"/>
  <c r="P70" i="30" s="1"/>
  <c r="N71" i="30"/>
  <c r="P71" i="30" s="1"/>
  <c r="N72" i="30"/>
  <c r="P72" i="30" s="1"/>
  <c r="N73" i="30"/>
  <c r="P73" i="30" s="1"/>
  <c r="N74" i="30"/>
  <c r="P74" i="30" s="1"/>
  <c r="N75" i="30"/>
  <c r="P75" i="30" s="1"/>
  <c r="N76" i="30"/>
  <c r="P76" i="30" s="1"/>
  <c r="N77" i="30"/>
  <c r="P77" i="30" s="1"/>
  <c r="N78" i="30"/>
  <c r="P78" i="30" s="1"/>
  <c r="N79" i="30"/>
  <c r="P79" i="30" s="1"/>
  <c r="N80" i="30"/>
  <c r="P80" i="30" s="1"/>
  <c r="N81" i="30"/>
  <c r="P81" i="30" s="1"/>
  <c r="N82" i="30"/>
  <c r="P82" i="30" s="1"/>
  <c r="N83" i="30"/>
  <c r="P83" i="30" s="1"/>
  <c r="N84" i="30"/>
  <c r="P84" i="30" s="1"/>
  <c r="N85" i="30"/>
  <c r="P85" i="30" s="1"/>
  <c r="N86" i="30"/>
  <c r="P86" i="30" s="1"/>
  <c r="N87" i="30"/>
  <c r="P87" i="30" s="1"/>
  <c r="N88" i="30"/>
  <c r="P88" i="30" s="1"/>
  <c r="N89" i="30"/>
  <c r="P89" i="30" s="1"/>
  <c r="N90" i="30"/>
  <c r="P90" i="30" s="1"/>
  <c r="N91" i="30"/>
  <c r="P91" i="30" s="1"/>
  <c r="N92" i="30"/>
  <c r="P92" i="30" s="1"/>
  <c r="N93" i="30"/>
  <c r="P93" i="30" s="1"/>
  <c r="N94" i="30"/>
  <c r="P94" i="30" s="1"/>
  <c r="N95" i="30"/>
  <c r="P95" i="30" s="1"/>
  <c r="N96" i="30"/>
  <c r="P96" i="30" s="1"/>
  <c r="N97" i="30"/>
  <c r="P97" i="30" s="1"/>
  <c r="N98" i="30"/>
  <c r="P98" i="30" s="1"/>
  <c r="N99" i="30"/>
  <c r="P99" i="30" s="1"/>
  <c r="N100" i="30"/>
  <c r="P100" i="30" s="1"/>
  <c r="N101" i="30"/>
  <c r="P101" i="30" s="1"/>
  <c r="N102" i="30"/>
  <c r="P102" i="30" s="1"/>
  <c r="N103" i="30"/>
  <c r="P103" i="30" s="1"/>
  <c r="N104" i="30"/>
  <c r="P104" i="30" s="1"/>
  <c r="N105" i="30"/>
  <c r="P105" i="30" s="1"/>
  <c r="N106" i="30"/>
  <c r="P106" i="30" s="1"/>
  <c r="N107" i="30"/>
  <c r="P107" i="30" s="1"/>
  <c r="N108" i="30"/>
  <c r="P108" i="30" s="1"/>
  <c r="N109" i="30"/>
  <c r="P109" i="30" s="1"/>
  <c r="N110" i="30"/>
  <c r="P110" i="30" s="1"/>
  <c r="N111" i="30"/>
  <c r="P111" i="30" s="1"/>
  <c r="N112" i="30"/>
  <c r="P112" i="30" s="1"/>
  <c r="N113" i="30"/>
  <c r="P113" i="30" s="1"/>
  <c r="N114" i="30"/>
  <c r="P114" i="30" s="1"/>
  <c r="N115" i="30"/>
  <c r="P115" i="30" s="1"/>
  <c r="N116" i="30"/>
  <c r="P116" i="30" s="1"/>
  <c r="N117" i="30"/>
  <c r="P117" i="30" s="1"/>
  <c r="N118" i="30"/>
  <c r="P118" i="30" s="1"/>
  <c r="N119" i="30"/>
  <c r="P119" i="30" s="1"/>
  <c r="N120" i="30"/>
  <c r="P120" i="30" s="1"/>
  <c r="N121" i="30"/>
  <c r="P121" i="30" s="1"/>
  <c r="C122" i="30"/>
  <c r="D122" i="30"/>
  <c r="E122" i="30"/>
  <c r="F122" i="30"/>
  <c r="G122" i="30"/>
  <c r="H122" i="30"/>
  <c r="I122" i="30"/>
  <c r="J122" i="30"/>
  <c r="K122" i="30"/>
  <c r="L122" i="30"/>
  <c r="M122" i="30"/>
  <c r="G998" i="65"/>
  <c r="Q123" i="66" l="1"/>
  <c r="AL11" i="46"/>
  <c r="AL17" i="46"/>
  <c r="B122" i="66"/>
  <c r="N3" i="66"/>
  <c r="K899" i="60"/>
  <c r="K900" i="60"/>
  <c r="K901" i="60"/>
  <c r="K902" i="60"/>
  <c r="K903" i="60"/>
  <c r="K904" i="60"/>
  <c r="K905" i="60"/>
  <c r="K906" i="60"/>
  <c r="K907" i="60"/>
  <c r="K908" i="60"/>
  <c r="K909" i="60"/>
  <c r="K910" i="60"/>
  <c r="K911" i="60"/>
  <c r="K912" i="60"/>
  <c r="K913" i="60"/>
  <c r="K914" i="60"/>
  <c r="K915" i="60"/>
  <c r="K916" i="60"/>
  <c r="K917" i="60"/>
  <c r="K918" i="60"/>
  <c r="K919" i="60"/>
  <c r="K920" i="60"/>
  <c r="K921" i="60"/>
  <c r="K922" i="60"/>
  <c r="K923" i="60"/>
  <c r="K924" i="60"/>
  <c r="K925" i="60"/>
  <c r="K926" i="60"/>
  <c r="K927" i="60"/>
  <c r="K928" i="60"/>
  <c r="K929" i="60"/>
  <c r="K930" i="60"/>
  <c r="K931" i="60"/>
  <c r="K932" i="60"/>
  <c r="K933" i="60"/>
  <c r="K934" i="60"/>
  <c r="K935" i="60"/>
  <c r="K936" i="60"/>
  <c r="K937" i="60"/>
  <c r="K938" i="60"/>
  <c r="K939" i="60"/>
  <c r="K940" i="60"/>
  <c r="K941" i="60"/>
  <c r="K942" i="60"/>
  <c r="K943" i="60"/>
  <c r="K944" i="60"/>
  <c r="K945" i="60"/>
  <c r="K946" i="60"/>
  <c r="K947" i="60"/>
  <c r="K948" i="60"/>
  <c r="K949" i="60"/>
  <c r="K950" i="60"/>
  <c r="K951" i="60"/>
  <c r="K952" i="60"/>
  <c r="K953" i="60"/>
  <c r="K954" i="60"/>
  <c r="K955" i="60"/>
  <c r="K956" i="60"/>
  <c r="K957" i="60"/>
  <c r="K958" i="60"/>
  <c r="K959" i="60"/>
  <c r="K960" i="60"/>
  <c r="K961" i="60"/>
  <c r="K962" i="60"/>
  <c r="K963" i="60"/>
  <c r="K964" i="60"/>
  <c r="K965" i="60"/>
  <c r="K966" i="60"/>
  <c r="K967" i="60"/>
  <c r="K968" i="60"/>
  <c r="K969" i="60"/>
  <c r="K970" i="60"/>
  <c r="K971" i="60"/>
  <c r="K972" i="60"/>
  <c r="K973" i="60"/>
  <c r="K974" i="60"/>
  <c r="K975" i="60"/>
  <c r="K976" i="60"/>
  <c r="K977" i="60"/>
  <c r="K978" i="60"/>
  <c r="K979" i="60"/>
  <c r="K980" i="60"/>
  <c r="K981" i="60"/>
  <c r="K982" i="60"/>
  <c r="K983" i="60"/>
  <c r="K984" i="60"/>
  <c r="K985" i="60"/>
  <c r="K986" i="60"/>
  <c r="K987" i="60"/>
  <c r="K988" i="60"/>
  <c r="K989" i="60"/>
  <c r="K990" i="60"/>
  <c r="K991" i="60"/>
  <c r="K992" i="60"/>
  <c r="K993" i="60"/>
  <c r="K994" i="60"/>
  <c r="K995" i="60"/>
  <c r="K996" i="60"/>
  <c r="K997" i="60"/>
  <c r="K998" i="60"/>
  <c r="K895" i="60"/>
  <c r="K896" i="60"/>
  <c r="K897" i="60"/>
  <c r="K898" i="60"/>
  <c r="K889" i="60"/>
  <c r="K890" i="60"/>
  <c r="K891" i="60"/>
  <c r="K892" i="60"/>
  <c r="K893" i="60"/>
  <c r="K894" i="60"/>
  <c r="P3" i="66" l="1"/>
  <c r="N122" i="66"/>
  <c r="P122" i="66" s="1"/>
  <c r="P123" i="66" s="1"/>
  <c r="G999" i="60"/>
  <c r="K879" i="60"/>
  <c r="K880" i="60"/>
  <c r="K881" i="60"/>
  <c r="K882" i="60"/>
  <c r="K883" i="60"/>
  <c r="K884" i="60"/>
  <c r="K885" i="60"/>
  <c r="K886" i="60"/>
  <c r="K887" i="60"/>
  <c r="K888" i="60"/>
  <c r="K874" i="60"/>
  <c r="K875" i="60"/>
  <c r="K876" i="60"/>
  <c r="K877" i="60"/>
  <c r="K878" i="60"/>
  <c r="K835" i="60" l="1"/>
  <c r="K836" i="60"/>
  <c r="K837" i="60"/>
  <c r="K838" i="60"/>
  <c r="K839" i="60"/>
  <c r="K840" i="60"/>
  <c r="K841" i="60"/>
  <c r="K842" i="60"/>
  <c r="K843" i="60"/>
  <c r="K844" i="60"/>
  <c r="K845" i="60"/>
  <c r="K846" i="60"/>
  <c r="K847" i="60"/>
  <c r="K848" i="60"/>
  <c r="K849" i="60"/>
  <c r="K850" i="60"/>
  <c r="K851" i="60"/>
  <c r="K852" i="60"/>
  <c r="K853" i="60"/>
  <c r="K854" i="60"/>
  <c r="K855" i="60"/>
  <c r="K856" i="60"/>
  <c r="K857" i="60"/>
  <c r="K858" i="60"/>
  <c r="K859" i="60"/>
  <c r="K860" i="60"/>
  <c r="K861" i="60"/>
  <c r="K862" i="60"/>
  <c r="K863" i="60"/>
  <c r="K864" i="60"/>
  <c r="K865" i="60"/>
  <c r="K866" i="60"/>
  <c r="K867" i="60"/>
  <c r="K868" i="60"/>
  <c r="K869" i="60"/>
  <c r="K870" i="60"/>
  <c r="K871" i="60"/>
  <c r="K872" i="60"/>
  <c r="K823" i="60"/>
  <c r="K824" i="60"/>
  <c r="K825" i="60"/>
  <c r="K826" i="60"/>
  <c r="K827" i="60"/>
  <c r="K828" i="60"/>
  <c r="K829" i="60"/>
  <c r="K830" i="60"/>
  <c r="K831" i="60"/>
  <c r="K832" i="60"/>
  <c r="K833" i="60"/>
  <c r="K834" i="60"/>
  <c r="K809" i="60" l="1"/>
  <c r="K810" i="60"/>
  <c r="K811" i="60"/>
  <c r="K812" i="60"/>
  <c r="K813" i="60"/>
  <c r="K814" i="60"/>
  <c r="K815" i="60"/>
  <c r="K816" i="60"/>
  <c r="K817" i="60"/>
  <c r="K818" i="60"/>
  <c r="K819" i="60"/>
  <c r="K820" i="60" l="1"/>
  <c r="K821" i="60"/>
  <c r="K822" i="60"/>
  <c r="K800" i="60"/>
  <c r="K801" i="60"/>
  <c r="K802" i="60"/>
  <c r="K803" i="60"/>
  <c r="K804" i="60"/>
  <c r="K805" i="60"/>
  <c r="K806" i="60"/>
  <c r="K807" i="60"/>
  <c r="K808" i="60"/>
  <c r="K787" i="60" l="1"/>
  <c r="K788" i="60"/>
  <c r="K789" i="60"/>
  <c r="K790" i="60"/>
  <c r="K791" i="60"/>
  <c r="K792" i="60"/>
  <c r="K793" i="60"/>
  <c r="K794" i="60"/>
  <c r="K795" i="60"/>
  <c r="K796" i="60"/>
  <c r="K797" i="60"/>
  <c r="K798" i="60"/>
  <c r="K799" i="60"/>
  <c r="K725" i="60" l="1"/>
  <c r="K726" i="60"/>
  <c r="K727" i="60"/>
  <c r="K728" i="60"/>
  <c r="K729" i="60"/>
  <c r="K730" i="60"/>
  <c r="K731" i="60"/>
  <c r="K732" i="60"/>
  <c r="K733" i="60"/>
  <c r="K734" i="60"/>
  <c r="K735" i="60"/>
  <c r="K736" i="60"/>
  <c r="K737" i="60"/>
  <c r="K738" i="60"/>
  <c r="K739" i="60"/>
  <c r="K740" i="60"/>
  <c r="K741" i="60"/>
  <c r="K742" i="60"/>
  <c r="K743" i="60"/>
  <c r="K744" i="60"/>
  <c r="K745" i="60"/>
  <c r="K746" i="60"/>
  <c r="K747" i="60"/>
  <c r="K748" i="60"/>
  <c r="K749" i="60"/>
  <c r="K750" i="60"/>
  <c r="K751" i="60"/>
  <c r="K752" i="60"/>
  <c r="K753" i="60"/>
  <c r="K754" i="60"/>
  <c r="K755" i="60"/>
  <c r="K756" i="60"/>
  <c r="K757" i="60"/>
  <c r="K758" i="60"/>
  <c r="K759" i="60"/>
  <c r="K760" i="60"/>
  <c r="K761" i="60"/>
  <c r="K762" i="60"/>
  <c r="K763" i="60"/>
  <c r="K764" i="60"/>
  <c r="K765" i="60"/>
  <c r="K766" i="60"/>
  <c r="K767" i="60"/>
  <c r="K768" i="60"/>
  <c r="K769" i="60"/>
  <c r="K770" i="60"/>
  <c r="K771" i="60"/>
  <c r="K772" i="60"/>
  <c r="K773" i="60"/>
  <c r="K774" i="60"/>
  <c r="K775" i="60"/>
  <c r="K776" i="60"/>
  <c r="K777" i="60"/>
  <c r="K778" i="60"/>
  <c r="K779" i="60"/>
  <c r="K780" i="60"/>
  <c r="K781" i="60"/>
  <c r="K782" i="60"/>
  <c r="K783" i="60"/>
  <c r="K784" i="60"/>
  <c r="K785" i="60"/>
  <c r="K786" i="60"/>
  <c r="K707" i="60" l="1"/>
  <c r="K708" i="60"/>
  <c r="K709" i="60"/>
  <c r="K710" i="60"/>
  <c r="K711" i="60"/>
  <c r="K712" i="60"/>
  <c r="K713" i="60"/>
  <c r="K714" i="60"/>
  <c r="K715" i="60"/>
  <c r="K716" i="60"/>
  <c r="K717" i="60"/>
  <c r="K718" i="60"/>
  <c r="K719" i="60"/>
  <c r="K720" i="60"/>
  <c r="K721" i="60"/>
  <c r="K722" i="60"/>
  <c r="K688" i="60" l="1"/>
  <c r="K689" i="60"/>
  <c r="K690" i="60"/>
  <c r="K691" i="60"/>
  <c r="K692" i="60"/>
  <c r="K693" i="60"/>
  <c r="K694" i="60"/>
  <c r="K695" i="60"/>
  <c r="K696" i="60"/>
  <c r="K697" i="60"/>
  <c r="K698" i="60"/>
  <c r="K699" i="60"/>
  <c r="K700" i="60"/>
  <c r="K701" i="60"/>
  <c r="K702" i="60"/>
  <c r="K703" i="60"/>
  <c r="K704" i="60"/>
  <c r="K705" i="60"/>
  <c r="K706" i="60"/>
  <c r="AB122" i="30" l="1"/>
  <c r="K873" i="60"/>
  <c r="K724" i="60"/>
  <c r="K723" i="60"/>
  <c r="K687" i="60"/>
  <c r="K686" i="60"/>
  <c r="K685" i="60"/>
  <c r="K684" i="60"/>
  <c r="K683" i="60"/>
  <c r="K682" i="60"/>
  <c r="K681" i="60"/>
  <c r="K680" i="60"/>
  <c r="K679" i="60"/>
  <c r="K678" i="60"/>
  <c r="K677" i="60"/>
  <c r="K676" i="60"/>
  <c r="K675" i="60"/>
  <c r="K674" i="60"/>
  <c r="K673" i="60"/>
  <c r="K672" i="60"/>
  <c r="K671" i="60"/>
  <c r="K670" i="60"/>
  <c r="K669" i="60"/>
  <c r="K668" i="60"/>
  <c r="K667" i="60"/>
  <c r="K666" i="60"/>
  <c r="K665" i="60"/>
  <c r="K664" i="60"/>
  <c r="K663" i="60"/>
  <c r="K662" i="60"/>
  <c r="K661" i="60"/>
  <c r="K660" i="60"/>
  <c r="K659" i="60"/>
  <c r="K658" i="60"/>
  <c r="K657" i="60"/>
  <c r="K656" i="60"/>
  <c r="K655" i="60"/>
  <c r="K654" i="60"/>
  <c r="K653" i="60"/>
  <c r="K652" i="60"/>
  <c r="K651" i="60"/>
  <c r="K650" i="60"/>
  <c r="K649" i="60"/>
  <c r="K648" i="60"/>
  <c r="K647" i="60"/>
  <c r="K646" i="60"/>
  <c r="K645" i="60"/>
  <c r="K644" i="60"/>
  <c r="K643" i="60"/>
  <c r="K642" i="60"/>
  <c r="K641" i="60"/>
  <c r="K640" i="60"/>
  <c r="K639" i="60"/>
  <c r="K638" i="60"/>
  <c r="K637" i="60"/>
  <c r="K636" i="60"/>
  <c r="K635" i="60"/>
  <c r="K634" i="60"/>
  <c r="K633" i="60"/>
  <c r="K632" i="60"/>
  <c r="K631" i="60"/>
  <c r="K630" i="60"/>
  <c r="K629" i="60"/>
  <c r="K628" i="60"/>
  <c r="K627" i="60"/>
  <c r="K626" i="60"/>
  <c r="K625" i="60"/>
  <c r="K624" i="60"/>
  <c r="K623" i="60"/>
  <c r="K622" i="60"/>
  <c r="K621" i="60"/>
  <c r="K620" i="60"/>
  <c r="K619" i="60"/>
  <c r="K618" i="60"/>
  <c r="K617" i="60"/>
  <c r="K616" i="60"/>
  <c r="K615" i="60"/>
  <c r="K614" i="60"/>
  <c r="K613" i="60"/>
  <c r="K612" i="60"/>
  <c r="K611" i="60"/>
  <c r="K610" i="60"/>
  <c r="K609" i="60"/>
  <c r="K608" i="60"/>
  <c r="K607" i="60"/>
  <c r="K606" i="60"/>
  <c r="K605" i="60"/>
  <c r="K604" i="60"/>
  <c r="K603" i="60"/>
  <c r="K602" i="60"/>
  <c r="K601" i="60"/>
  <c r="K600" i="60"/>
  <c r="K599" i="60"/>
  <c r="K598" i="60"/>
  <c r="K597" i="60"/>
  <c r="K596" i="60"/>
  <c r="K595" i="60"/>
  <c r="K594" i="60"/>
  <c r="K593" i="60"/>
  <c r="K592" i="60"/>
  <c r="K591" i="60"/>
  <c r="K590" i="60"/>
  <c r="K589" i="60"/>
  <c r="K588" i="60"/>
  <c r="K587" i="60"/>
  <c r="K586" i="60"/>
  <c r="K585" i="60"/>
  <c r="K584" i="60"/>
  <c r="K583" i="60"/>
  <c r="K582" i="60"/>
  <c r="K581" i="60"/>
  <c r="K580" i="60"/>
  <c r="K579" i="60"/>
  <c r="K578" i="60"/>
  <c r="K577" i="60"/>
  <c r="K576" i="60"/>
  <c r="K575" i="60"/>
  <c r="K574" i="60"/>
  <c r="K573" i="60"/>
  <c r="K572" i="60"/>
  <c r="K571" i="60"/>
  <c r="K570" i="60"/>
  <c r="K569" i="60"/>
  <c r="K568" i="60"/>
  <c r="K567" i="60"/>
  <c r="K566" i="60"/>
  <c r="K565" i="60"/>
  <c r="K564" i="60"/>
  <c r="K563" i="60"/>
  <c r="K562" i="60"/>
  <c r="K561" i="60"/>
  <c r="K560" i="60"/>
  <c r="K559" i="60"/>
  <c r="K558" i="60"/>
  <c r="K557" i="60"/>
  <c r="K556" i="60"/>
  <c r="K555" i="60"/>
  <c r="K554" i="60"/>
  <c r="K553" i="60"/>
  <c r="K552" i="60"/>
  <c r="K551" i="60"/>
  <c r="K550" i="60"/>
  <c r="K549" i="60"/>
  <c r="K548" i="60"/>
  <c r="K547" i="60"/>
  <c r="K546" i="60"/>
  <c r="K545" i="60"/>
  <c r="K544" i="60"/>
  <c r="K543" i="60"/>
  <c r="K542" i="60"/>
  <c r="K541" i="60"/>
  <c r="K540" i="60"/>
  <c r="K539" i="60"/>
  <c r="K538" i="60"/>
  <c r="K537" i="60"/>
  <c r="K536" i="60"/>
  <c r="K535" i="60"/>
  <c r="K534" i="60"/>
  <c r="K533" i="60"/>
  <c r="K532" i="60"/>
  <c r="K531" i="60"/>
  <c r="K530" i="60"/>
  <c r="K529" i="60"/>
  <c r="K528" i="60"/>
  <c r="K527" i="60"/>
  <c r="K526" i="60"/>
  <c r="K525" i="60"/>
  <c r="K524" i="60"/>
  <c r="K523" i="60"/>
  <c r="K522" i="60"/>
  <c r="K521" i="60"/>
  <c r="K520" i="60"/>
  <c r="K519" i="60"/>
  <c r="K518" i="60"/>
  <c r="K517" i="60"/>
  <c r="K516" i="60"/>
  <c r="K515" i="60"/>
  <c r="K514" i="60"/>
  <c r="K513" i="60"/>
  <c r="K512" i="60"/>
  <c r="K511" i="60"/>
  <c r="K510" i="60"/>
  <c r="K509" i="60"/>
  <c r="K508" i="60"/>
  <c r="K507" i="60"/>
  <c r="K506" i="60"/>
  <c r="K505" i="60"/>
  <c r="K504" i="60"/>
  <c r="K503" i="60"/>
  <c r="K502" i="60"/>
  <c r="K501" i="60"/>
  <c r="K500" i="60"/>
  <c r="K499" i="60"/>
  <c r="K498" i="60"/>
  <c r="K497" i="60"/>
  <c r="K496" i="60"/>
  <c r="K495" i="60"/>
  <c r="K494" i="60"/>
  <c r="K493" i="60"/>
  <c r="K492" i="60"/>
  <c r="K491" i="60"/>
  <c r="K490" i="60"/>
  <c r="K489" i="60"/>
  <c r="K488" i="60"/>
  <c r="K487" i="60"/>
  <c r="K486" i="60"/>
  <c r="K485" i="60"/>
  <c r="K484" i="60"/>
  <c r="K483" i="60"/>
  <c r="K482" i="60"/>
  <c r="K481" i="60"/>
  <c r="K480" i="60"/>
  <c r="K479" i="60"/>
  <c r="K478" i="60"/>
  <c r="K477" i="60"/>
  <c r="K476" i="60"/>
  <c r="K475" i="60"/>
  <c r="K474" i="60"/>
  <c r="K473" i="60"/>
  <c r="K472" i="60"/>
  <c r="K471" i="60"/>
  <c r="K470" i="60"/>
  <c r="K469" i="60"/>
  <c r="K468" i="60"/>
  <c r="K467" i="60"/>
  <c r="K466" i="60"/>
  <c r="K465" i="60"/>
  <c r="K464" i="60"/>
  <c r="K463" i="60"/>
  <c r="K462" i="60"/>
  <c r="K461" i="60"/>
  <c r="K460" i="60"/>
  <c r="K459" i="60"/>
  <c r="K458" i="60"/>
  <c r="K457" i="60"/>
  <c r="K456" i="60"/>
  <c r="K455" i="60"/>
  <c r="K454" i="60"/>
  <c r="K453" i="60"/>
  <c r="K452" i="60"/>
  <c r="K451" i="60"/>
  <c r="K450" i="60"/>
  <c r="K449" i="60"/>
  <c r="K448" i="60"/>
  <c r="K447" i="60"/>
  <c r="K446" i="60"/>
  <c r="K445" i="60"/>
  <c r="K444" i="60"/>
  <c r="K443" i="60"/>
  <c r="K442" i="60"/>
  <c r="K441" i="60"/>
  <c r="K440" i="60"/>
  <c r="K439" i="60"/>
  <c r="K438" i="60"/>
  <c r="K437" i="60"/>
  <c r="K436" i="60"/>
  <c r="K435" i="60"/>
  <c r="K434" i="60"/>
  <c r="K433" i="60"/>
  <c r="K432" i="60"/>
  <c r="K431" i="60"/>
  <c r="K430" i="60"/>
  <c r="K429" i="60"/>
  <c r="K428" i="60"/>
  <c r="K427" i="60"/>
  <c r="K426" i="60"/>
  <c r="K425" i="60"/>
  <c r="K424" i="60"/>
  <c r="K423" i="60"/>
  <c r="K422" i="60"/>
  <c r="K421" i="60"/>
  <c r="K420" i="60"/>
  <c r="K419" i="60"/>
  <c r="K418" i="60"/>
  <c r="K417" i="60"/>
  <c r="K416" i="60"/>
  <c r="K415" i="60"/>
  <c r="K414" i="60"/>
  <c r="K413" i="60"/>
  <c r="K412" i="60"/>
  <c r="K411" i="60"/>
  <c r="K410" i="60"/>
  <c r="K409" i="60"/>
  <c r="K408" i="60"/>
  <c r="K407" i="60"/>
  <c r="K406" i="60"/>
  <c r="K405" i="60"/>
  <c r="K404" i="60"/>
  <c r="K403" i="60"/>
  <c r="K402" i="60"/>
  <c r="K401" i="60"/>
  <c r="K400" i="60"/>
  <c r="K399" i="60"/>
  <c r="K398" i="60"/>
  <c r="K397" i="60"/>
  <c r="K396" i="60"/>
  <c r="K395" i="60"/>
  <c r="K394" i="60"/>
  <c r="K393" i="60"/>
  <c r="K392" i="60"/>
  <c r="K391" i="60"/>
  <c r="K390" i="60"/>
  <c r="K389" i="60"/>
  <c r="K388" i="60"/>
  <c r="K387" i="60"/>
  <c r="K386" i="60"/>
  <c r="K385" i="60"/>
  <c r="K384" i="60"/>
  <c r="K383" i="60"/>
  <c r="K382"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K39" i="60"/>
  <c r="K38" i="60"/>
  <c r="K37" i="60"/>
  <c r="K36" i="60"/>
  <c r="K35" i="60"/>
  <c r="K34" i="60"/>
  <c r="K33" i="60"/>
  <c r="K32" i="60"/>
  <c r="K31" i="60"/>
  <c r="K30" i="60"/>
  <c r="K29" i="60"/>
  <c r="K28" i="60"/>
  <c r="K27" i="60"/>
  <c r="K26" i="60"/>
  <c r="K25" i="60"/>
  <c r="K24" i="60"/>
  <c r="K23" i="60"/>
  <c r="K22" i="60"/>
  <c r="K21" i="60"/>
  <c r="K20" i="60"/>
  <c r="K19" i="60"/>
  <c r="K18" i="60"/>
  <c r="K17" i="60"/>
  <c r="K16" i="60"/>
  <c r="K15" i="60"/>
  <c r="K14" i="60"/>
  <c r="K13" i="60"/>
  <c r="K12" i="60"/>
  <c r="K11" i="60"/>
  <c r="K10" i="60"/>
  <c r="AA122" i="30" l="1"/>
  <c r="Z122" i="30" l="1"/>
  <c r="Y122" i="30" l="1"/>
  <c r="X122" i="30" l="1"/>
  <c r="W122" i="30" l="1"/>
  <c r="V122" i="30" l="1"/>
  <c r="U122" i="30" l="1"/>
  <c r="S122" i="30"/>
  <c r="T122" i="30"/>
  <c r="Q122" i="30" l="1"/>
  <c r="R122" i="30"/>
  <c r="Q123" i="30" l="1"/>
  <c r="O122" i="30"/>
  <c r="N3" i="30" l="1"/>
  <c r="N122" i="30" s="1"/>
  <c r="P122" i="30" s="1"/>
  <c r="P123" i="30" s="1"/>
  <c r="B122" i="30"/>
  <c r="P3" i="3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A167E1-6415-4581-952B-0D5FCF5BA2CB}" keepAlive="1" name="ThisWorkbookDataModel" description="Veri Modeli"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LAN-AKS MUHASEBE.xlsx!Tablo1" type="102" refreshedVersion="6" minRefreshableVersion="5">
    <extLst>
      <ext xmlns:x15="http://schemas.microsoft.com/office/spreadsheetml/2010/11/main" uri="{DE250136-89BD-433C-8126-D09CA5730AF9}">
        <x15:connection id="Tablo1">
          <x15:rangePr sourceName="_xlcn.WorksheetConnection_PLANAKSMUHASEBE.xlsxTablo1"/>
        </x15:connection>
      </ext>
    </extLst>
  </connection>
</connections>
</file>

<file path=xl/sharedStrings.xml><?xml version="1.0" encoding="utf-8"?>
<sst xmlns="http://schemas.openxmlformats.org/spreadsheetml/2006/main" count="2292" uniqueCount="383">
  <si>
    <t>UMUT ARSLAN</t>
  </si>
  <si>
    <t>TARİH</t>
  </si>
  <si>
    <t>DOSYA NO</t>
  </si>
  <si>
    <t>İŞİN TÜRÜ</t>
  </si>
  <si>
    <t>İŞİN DURUMU</t>
  </si>
  <si>
    <t>TESLİM EDİLDİ</t>
  </si>
  <si>
    <t>DEVAM EDİYOR</t>
  </si>
  <si>
    <t>İŞİN ADI</t>
  </si>
  <si>
    <t>TOPLAM TUTAR</t>
  </si>
  <si>
    <t>BURAK ORAL</t>
  </si>
  <si>
    <t>ERDAL ÖNCEL</t>
  </si>
  <si>
    <t>MUHAMMET BAHÇECİ</t>
  </si>
  <si>
    <t>ŞAFAK YAĞAN</t>
  </si>
  <si>
    <t>SELÇUK KARABULUT</t>
  </si>
  <si>
    <t>İPTAL EDİLDİ</t>
  </si>
  <si>
    <t>BEKLEMEDE</t>
  </si>
  <si>
    <t>AKUSTİK RAPOR &amp; PROJE</t>
  </si>
  <si>
    <t>ÖN HESAP SONUÇ FORMU</t>
  </si>
  <si>
    <t>UĞUR YILMAZEL</t>
  </si>
  <si>
    <t>FATURA TİPİ</t>
  </si>
  <si>
    <t>ÖDENME DURUMU</t>
  </si>
  <si>
    <t>NİDA KÜSMÜŞ</t>
  </si>
  <si>
    <t>ÖDEME ALINDI</t>
  </si>
  <si>
    <t>ÇAĞLAYAN BODUR</t>
  </si>
  <si>
    <t>FURKAN ŞAHAN</t>
  </si>
  <si>
    <t>HASAN TAŞDEMİR</t>
  </si>
  <si>
    <t>FATMA CEYDA COŞKUN</t>
  </si>
  <si>
    <t>ÖDENMEDİ</t>
  </si>
  <si>
    <t>GEZEGEN ASANSÖR</t>
  </si>
  <si>
    <t>HASAN DURUCAN</t>
  </si>
  <si>
    <t>MÜŞTERİ ADI</t>
  </si>
  <si>
    <t>İBK PROJE</t>
  </si>
  <si>
    <t>ZİVER İNŞAAT</t>
  </si>
  <si>
    <t>İLYAS ÇETİN</t>
  </si>
  <si>
    <t>EMZA TEKNOLOJİ</t>
  </si>
  <si>
    <t>ENERJİ KİMLİK BELGESİ HİZMET BEDELİ HESAPLANMASI</t>
  </si>
  <si>
    <t>NOT: YEŞİL DOLGULU OLAN YERE TOPLAM YAPI İNŞAAT ALANINI GİRİNİZ</t>
  </si>
  <si>
    <t>EKB HİZMET BEDELİ HESAPLAMA</t>
  </si>
  <si>
    <t>İNŞAAT ALANI</t>
  </si>
  <si>
    <t>KAT SAYI</t>
  </si>
  <si>
    <t>TUTAR</t>
  </si>
  <si>
    <t>0-250 m² arası</t>
  </si>
  <si>
    <t xml:space="preserve">0-250 m² </t>
  </si>
  <si>
    <t>250-500 m² arası</t>
  </si>
  <si>
    <t xml:space="preserve">250-500 m² </t>
  </si>
  <si>
    <t>500-1000 m² arası</t>
  </si>
  <si>
    <t xml:space="preserve">500-1000 m² </t>
  </si>
  <si>
    <t>1000-2000 m² arası</t>
  </si>
  <si>
    <t xml:space="preserve">1000-2000 m² </t>
  </si>
  <si>
    <t>2000-5000 m² arası</t>
  </si>
  <si>
    <t xml:space="preserve">2000-5000 m² </t>
  </si>
  <si>
    <t>5000-10000 m² arası</t>
  </si>
  <si>
    <t xml:space="preserve">5000-10000 m² </t>
  </si>
  <si>
    <t>10000-50000 m² arası</t>
  </si>
  <si>
    <t xml:space="preserve">10000-50000 m² </t>
  </si>
  <si>
    <t>+</t>
  </si>
  <si>
    <t>50000 m² ve üzeri</t>
  </si>
  <si>
    <t>TOPLAM YAPI İNŞAAT ALANI</t>
  </si>
  <si>
    <t>TOPLAM YAPI İNŞAAT ALANI :</t>
  </si>
  <si>
    <t>TOPLAM REFERANS HİZMET BEDELİ</t>
  </si>
  <si>
    <t>TOPLAM REFERANS HİZMET BEDELİ :</t>
  </si>
  <si>
    <t>HARUN BOZTOSUN</t>
  </si>
  <si>
    <t>EKB ÇİZİMİ</t>
  </si>
  <si>
    <t>EREN DURAN</t>
  </si>
  <si>
    <t>ÇETİN İNŞAAT</t>
  </si>
  <si>
    <t>TOPLAM BORÇ</t>
  </si>
  <si>
    <t>ALINAN ÖDEME</t>
  </si>
  <si>
    <t>KALAN ÖDEME</t>
  </si>
  <si>
    <t>KALAN ÖDEME KONTROLÜ</t>
  </si>
  <si>
    <t>ÖZER HÜSEYİN ERKAN</t>
  </si>
  <si>
    <t>FURKAN BEY</t>
  </si>
  <si>
    <t>ADEM BAHÇECİ</t>
  </si>
  <si>
    <t>GÜLCAN HANIM</t>
  </si>
  <si>
    <t>SATIŞ TUTARI</t>
  </si>
  <si>
    <t>DOSYA ADI</t>
  </si>
  <si>
    <t>Toplam</t>
  </si>
  <si>
    <t>HÜSEYİN AKÜZÜM</t>
  </si>
  <si>
    <t>EKB ÇİZİM VE ONAYI</t>
  </si>
  <si>
    <t>MUHAMMET BEYAZIT</t>
  </si>
  <si>
    <t>EKB ONAYI</t>
  </si>
  <si>
    <t>YÜCEL KARA</t>
  </si>
  <si>
    <t>SERKAN ŞEN</t>
  </si>
  <si>
    <t>GÜRTAŞ YAPI</t>
  </si>
  <si>
    <t>MUĞLA TOKİ</t>
  </si>
  <si>
    <t>YAVUZ ŞİMŞEK</t>
  </si>
  <si>
    <t>GÖNÜL KISA</t>
  </si>
  <si>
    <t>MİKAİL YILDIZ</t>
  </si>
  <si>
    <t>BATUHAN GÖNÜLTAŞ</t>
  </si>
  <si>
    <t>ÖMER FARUK YARAY</t>
  </si>
  <si>
    <t>NUR CEBECİ</t>
  </si>
  <si>
    <t>BAYBURT ÖZKA İNŞAAT</t>
  </si>
  <si>
    <t>ASR TEKNOLOJİ</t>
  </si>
  <si>
    <t>3BSYM</t>
  </si>
  <si>
    <t>MERVE YILMAZ</t>
  </si>
  <si>
    <t>SİBEL ŞUT</t>
  </si>
  <si>
    <t>SİNAN TEKİN</t>
  </si>
  <si>
    <t xml:space="preserve">SEVİLAY HANIM </t>
  </si>
  <si>
    <t>ŞEFİKA SİVİŞ</t>
  </si>
  <si>
    <t>GÖKÇE BUSE KARACA</t>
  </si>
  <si>
    <t>İZZET AKTİM</t>
  </si>
  <si>
    <t>YEMEK FİRMASI</t>
  </si>
  <si>
    <t>HARPUT YEMEK</t>
  </si>
  <si>
    <t>YETKİLİ</t>
  </si>
  <si>
    <t>MAHMUT BEY</t>
  </si>
  <si>
    <t>GSM</t>
  </si>
  <si>
    <t>KDV DAHİL</t>
  </si>
  <si>
    <t>ÇAĞLANUR BOĞUR</t>
  </si>
  <si>
    <t>FATMANAZ KELEŞ</t>
  </si>
  <si>
    <t>ÖĞLE</t>
  </si>
  <si>
    <t>KAHVALTI</t>
  </si>
  <si>
    <t>YAŞAR ERTÜRK</t>
  </si>
  <si>
    <t>ALTUĞ MÜH.</t>
  </si>
  <si>
    <t>MUSTAFA SETENCİ</t>
  </si>
  <si>
    <t>FATMA SERT</t>
  </si>
  <si>
    <t>SÜMEYYA ŞAHİN</t>
  </si>
  <si>
    <t>SELİM KORKUSUZ</t>
  </si>
  <si>
    <t>TUĞÇE OKYAY</t>
  </si>
  <si>
    <t>MUSTAFA ÜLGER</t>
  </si>
  <si>
    <t>HÜSNÜ GÜLENGÜL</t>
  </si>
  <si>
    <t>YUNUS EMRE AHISKA</t>
  </si>
  <si>
    <t>ENES KIRMIZIGÜL</t>
  </si>
  <si>
    <t>OĞUZHAN BAYKAL</t>
  </si>
  <si>
    <t>ONAR MÜHENDİSLİK</t>
  </si>
  <si>
    <t>FURKAN TULUM</t>
  </si>
  <si>
    <t>SETYAP İNŞAAT</t>
  </si>
  <si>
    <t>SÜMEYYE KARATAŞ</t>
  </si>
  <si>
    <t>ARMADA İNŞAAT</t>
  </si>
  <si>
    <t>İLYAS CAN</t>
  </si>
  <si>
    <t>EMRULLAH ÖZÇELİK</t>
  </si>
  <si>
    <t>İSMAİL TURGUTALP</t>
  </si>
  <si>
    <t>BURAK CEYLAN</t>
  </si>
  <si>
    <t>MİRAÇ SEVİM</t>
  </si>
  <si>
    <t>SİNAN YÜCEL</t>
  </si>
  <si>
    <t>MÜSTERİ ID</t>
  </si>
  <si>
    <t>MUS1001</t>
  </si>
  <si>
    <t>MUS1002</t>
  </si>
  <si>
    <t>MUS1003</t>
  </si>
  <si>
    <t>MUS1004</t>
  </si>
  <si>
    <t>MUS1005</t>
  </si>
  <si>
    <t>MUS1006</t>
  </si>
  <si>
    <t>MUS1007</t>
  </si>
  <si>
    <t>MUS1008</t>
  </si>
  <si>
    <t>MUS1009</t>
  </si>
  <si>
    <t>MUS1010</t>
  </si>
  <si>
    <t>MUS1011</t>
  </si>
  <si>
    <t>MUS1012</t>
  </si>
  <si>
    <t>MUS1013</t>
  </si>
  <si>
    <t>MUS1014</t>
  </si>
  <si>
    <t>MUS1015</t>
  </si>
  <si>
    <t>MUS1016</t>
  </si>
  <si>
    <t>MUS1017</t>
  </si>
  <si>
    <t>MUS1018</t>
  </si>
  <si>
    <t>MUS1019</t>
  </si>
  <si>
    <t>MUS1020</t>
  </si>
  <si>
    <t>MUS1021</t>
  </si>
  <si>
    <t>MUS1022</t>
  </si>
  <si>
    <t>MUS1023</t>
  </si>
  <si>
    <t>MUS1024</t>
  </si>
  <si>
    <t>MUS1025</t>
  </si>
  <si>
    <t>MUS1026</t>
  </si>
  <si>
    <t>MUS1027</t>
  </si>
  <si>
    <t>MUS1028</t>
  </si>
  <si>
    <t>MUS1029</t>
  </si>
  <si>
    <t>MUS1030</t>
  </si>
  <si>
    <t>MUS1031</t>
  </si>
  <si>
    <t>MUS1032</t>
  </si>
  <si>
    <t>MUS1033</t>
  </si>
  <si>
    <t>MUS1034</t>
  </si>
  <si>
    <t>MUS1035</t>
  </si>
  <si>
    <t>MUS1036</t>
  </si>
  <si>
    <t>MUS1037</t>
  </si>
  <si>
    <t>MUS1038</t>
  </si>
  <si>
    <t>MUS1039</t>
  </si>
  <si>
    <t>MUS1040</t>
  </si>
  <si>
    <t>MUS1041</t>
  </si>
  <si>
    <t>MUS1042</t>
  </si>
  <si>
    <t>MUS1043</t>
  </si>
  <si>
    <t>MUS1044</t>
  </si>
  <si>
    <t>MUS1045</t>
  </si>
  <si>
    <t>MUS1046</t>
  </si>
  <si>
    <t>MUS1047</t>
  </si>
  <si>
    <t>MUS1048</t>
  </si>
  <si>
    <t>MUS1049</t>
  </si>
  <si>
    <t>MUS1050</t>
  </si>
  <si>
    <t>MUS1051</t>
  </si>
  <si>
    <t>MUS1052</t>
  </si>
  <si>
    <t>MUS1053</t>
  </si>
  <si>
    <t>MUS1054</t>
  </si>
  <si>
    <t>MUS1055</t>
  </si>
  <si>
    <t>MUS1056</t>
  </si>
  <si>
    <t>MUS1057</t>
  </si>
  <si>
    <t>MUS1058</t>
  </si>
  <si>
    <t>MUS1059</t>
  </si>
  <si>
    <t>MUS1060</t>
  </si>
  <si>
    <t>MUS1061</t>
  </si>
  <si>
    <t>MUS1062</t>
  </si>
  <si>
    <t>MUS1063</t>
  </si>
  <si>
    <t>MUS1064</t>
  </si>
  <si>
    <t>MUS1065</t>
  </si>
  <si>
    <t>MUS1066</t>
  </si>
  <si>
    <t>MUS1067</t>
  </si>
  <si>
    <t>MUS1068</t>
  </si>
  <si>
    <t>MUS1069</t>
  </si>
  <si>
    <t>MUS1070</t>
  </si>
  <si>
    <t>MUS1071</t>
  </si>
  <si>
    <t>MUS1072</t>
  </si>
  <si>
    <t>MUS1073</t>
  </si>
  <si>
    <t>MUS1074</t>
  </si>
  <si>
    <t>MUS1075</t>
  </si>
  <si>
    <t>MUS1076</t>
  </si>
  <si>
    <t>MUS1077</t>
  </si>
  <si>
    <t>MUS1078</t>
  </si>
  <si>
    <t>MUS1079</t>
  </si>
  <si>
    <t>MUS1080</t>
  </si>
  <si>
    <t>MUS1081</t>
  </si>
  <si>
    <t>MUS1082</t>
  </si>
  <si>
    <t>MUS1083</t>
  </si>
  <si>
    <t>MUS1084</t>
  </si>
  <si>
    <t>MUS1085</t>
  </si>
  <si>
    <t>MUS1086</t>
  </si>
  <si>
    <t>MUS1087</t>
  </si>
  <si>
    <t>MUS1088</t>
  </si>
  <si>
    <t>MUS1089</t>
  </si>
  <si>
    <t>MUS1090</t>
  </si>
  <si>
    <t>MUS1091</t>
  </si>
  <si>
    <t>MUS1092</t>
  </si>
  <si>
    <t>MUS1093</t>
  </si>
  <si>
    <t>MUS1094</t>
  </si>
  <si>
    <t>MUS1095</t>
  </si>
  <si>
    <t>MUS1096</t>
  </si>
  <si>
    <t>MUS1097</t>
  </si>
  <si>
    <t>MUS1098</t>
  </si>
  <si>
    <t>MUS1099</t>
  </si>
  <si>
    <t>MUS1100</t>
  </si>
  <si>
    <t>MUS1101</t>
  </si>
  <si>
    <t>MUS1102</t>
  </si>
  <si>
    <t>MUS1103</t>
  </si>
  <si>
    <t>MUS1104</t>
  </si>
  <si>
    <t>MUS1105</t>
  </si>
  <si>
    <t>MUS1106</t>
  </si>
  <si>
    <t>MUS1107</t>
  </si>
  <si>
    <t>MUS1108</t>
  </si>
  <si>
    <t>MUS1109</t>
  </si>
  <si>
    <t>MUS1110</t>
  </si>
  <si>
    <t>PLANAKS MÜHENDİSLİK MİMARLIK İNŞAAT PEYZAJ EMLAK SANAYİ VE TİCARET LİMİTED ŞİRKETİ
GELEN İŞLER LİSTESİ</t>
  </si>
  <si>
    <t>1.NOT</t>
  </si>
  <si>
    <t>2.NOT</t>
  </si>
  <si>
    <t/>
  </si>
  <si>
    <t>PLANAKS MÜHENDİSLİK MİMARLIK İNŞAAT PEYZAJ EMLAK SANAYİ VE TİCARET LİMİTED ŞİRKETİ
GİDEN İŞLER LİSTESİ</t>
  </si>
  <si>
    <t>MÜŞTERİLER GELEN İŞLER</t>
  </si>
  <si>
    <t>MÜŞTERİLER GİDEN İŞLER</t>
  </si>
  <si>
    <t>PLANAKS MÜHENDİSLİK MİMARLIK İNŞAAT PEYZAJ EMLAK SANAYİ VE TİCARET LİMİTED ŞİRKETİ 
CARİ HESAP TAKİBİ (GELEN İŞLER)</t>
  </si>
  <si>
    <t>PLANAKS MÜHENDİSLİK MİMARLIK İNŞAAT PEYZAJ EMLAK SANAYİ VE TİCARET LİMİTED ŞİRKETİ 
CARİ HESAP TAKİBİ (GİDEN İŞLER)</t>
  </si>
  <si>
    <t>AKŞAM</t>
  </si>
  <si>
    <t>ÖĞLE YEMEĞİ</t>
  </si>
  <si>
    <t>AKŞAM YEMEĞİ</t>
  </si>
  <si>
    <t>TOPLAM</t>
  </si>
  <si>
    <t>BİRİM FİYAT (KDV DAHİL)</t>
  </si>
  <si>
    <t>OCAK 2026 GENEL TOPLAM :</t>
  </si>
  <si>
    <t>ŞUBAT 2026 GENEL TOPLAM :</t>
  </si>
  <si>
    <t>MART 2026 GENEL TOPLAM :</t>
  </si>
  <si>
    <t>NİSAN 2026 GENEL TOPLAM :</t>
  </si>
  <si>
    <t>MAYIS 2026 GENEL TOPLAM :</t>
  </si>
  <si>
    <t>SABAHATTİN KARAMAN VE HİSS</t>
  </si>
  <si>
    <t>SAFİYE ÖZTÜRK</t>
  </si>
  <si>
    <t>GAMZE YILDIZ</t>
  </si>
  <si>
    <t>SEMİH YETER VE HİSS</t>
  </si>
  <si>
    <t>SELAMİ YÜCEHAN VE HİSS</t>
  </si>
  <si>
    <t>ORKUN SELVİ</t>
  </si>
  <si>
    <t>KEMAL KAYA VE HİSS</t>
  </si>
  <si>
    <t>HARÇ ÜCRETİ</t>
  </si>
  <si>
    <t>MAHSUN TUNÇ</t>
  </si>
  <si>
    <t>ADIYAMAN 63 BLOK TOKİ</t>
  </si>
  <si>
    <t>E-FATURA</t>
  </si>
  <si>
    <t>ÇAĞLAYANCERİT 4 BLOK TOKİ</t>
  </si>
  <si>
    <t>DARÜLACEZE 11 BLOK</t>
  </si>
  <si>
    <t>SAMET KOÇAK</t>
  </si>
  <si>
    <t>MUSTAFAPAŞA ASM</t>
  </si>
  <si>
    <t>GESSİZ İŞ</t>
  </si>
  <si>
    <t>ERDOĞAN GÜL - ERSİN ŞİMŞİR</t>
  </si>
  <si>
    <t>HEDİYE</t>
  </si>
  <si>
    <t>KEMAL SEYFİ</t>
  </si>
  <si>
    <t>ESAT SARA VE ORT</t>
  </si>
  <si>
    <t>EMİNE KÖROĞLU</t>
  </si>
  <si>
    <t>MEHRİ SAĞIR</t>
  </si>
  <si>
    <t>FATURA KESİLDİ</t>
  </si>
  <si>
    <t>FİLİZ YASAKOL</t>
  </si>
  <si>
    <t>MUSTAFA HARUN GÜMÜŞEL</t>
  </si>
  <si>
    <t>ABDULLAH ALAŞ</t>
  </si>
  <si>
    <t>MUHAMMED FATİH BAHÇECİ</t>
  </si>
  <si>
    <t>3000 ₺  ANLAŞILAN TUTAR</t>
  </si>
  <si>
    <t>30000 ₺ ANLAŞMA BEDELİ</t>
  </si>
  <si>
    <t>AFYON TOKİ 2 BLOK</t>
  </si>
  <si>
    <t>ALİ MUTLU 1565-12</t>
  </si>
  <si>
    <t>ERGANİ İLÇE TARIM MÜDÜRLÜĞÜ</t>
  </si>
  <si>
    <t xml:space="preserve">EFECE-RAJA-GÜVENİŞ </t>
  </si>
  <si>
    <t>TOBB 3 BLOK</t>
  </si>
  <si>
    <t>MEHMET ZÜLFÜ GENÇ</t>
  </si>
  <si>
    <t>YUNUS AYTEMUR - ABDULLAH AYTEMUR</t>
  </si>
  <si>
    <t>SATIŞ TUTARI BELLİ DEĞİL</t>
  </si>
  <si>
    <t>HACI AHMET AYDIN VE MÜŞT</t>
  </si>
  <si>
    <t>BİZMİŞEN 1.ETAP 571 KONUT 29 BLOK</t>
  </si>
  <si>
    <t>HARÇLARI BEN ÖDEYECEM</t>
  </si>
  <si>
    <t>VEDAT ÇADIR VE HİSS</t>
  </si>
  <si>
    <t>MURAT ACAR</t>
  </si>
  <si>
    <t>SERVET KALKAN</t>
  </si>
  <si>
    <t>İKİ DEFA ONAY YAPILDI</t>
  </si>
  <si>
    <t>CELAL BOZKURT</t>
  </si>
  <si>
    <t>MUSTAFA YERLİ</t>
  </si>
  <si>
    <t>DOĞAN EK</t>
  </si>
  <si>
    <t>NEZAKET DOĞAN VE HİSS</t>
  </si>
  <si>
    <t>GÜLDEREN ERGEZER VE HİSS</t>
  </si>
  <si>
    <t>RECEP BAŞPINAR VE HİSS</t>
  </si>
  <si>
    <t>HİKMET ÇEÇEN</t>
  </si>
  <si>
    <t>CÜNEYT TUNÇ AKASYA PARK</t>
  </si>
  <si>
    <t>MEHMET DEMİR MET-DEMİR İNŞAAT</t>
  </si>
  <si>
    <t>2400 ₺ ÖDENECEK</t>
  </si>
  <si>
    <t>26 BLOK 5 TİP</t>
  </si>
  <si>
    <t>FOTOĞRAFTAN ÖN HESAP YAPILACAK ESKİ YAPI</t>
  </si>
  <si>
    <t>MEHMET YLDIZ</t>
  </si>
  <si>
    <t>ALİ PARMAKSIZ VE ORT</t>
  </si>
  <si>
    <t>120.000,00 ₺ ANLAŞMA BEDELİ</t>
  </si>
  <si>
    <t>BALIKESİR 19 BLOK TOKİ</t>
  </si>
  <si>
    <t>HATİCE ÖZKAN VE ORT</t>
  </si>
  <si>
    <t>HEDİYE AYDIN</t>
  </si>
  <si>
    <t>AHMET ABİ KAYSERİ</t>
  </si>
  <si>
    <t>FZ TARIM İNŞAAT 1107-8</t>
  </si>
  <si>
    <t>FZ TARIM İNŞAAT 1102-4</t>
  </si>
  <si>
    <t>FADIL SAĞIR</t>
  </si>
  <si>
    <t>MEHMET CAN ABDUKAYA</t>
  </si>
  <si>
    <t xml:space="preserve">LİVANEL - ENİSCAN </t>
  </si>
  <si>
    <t>MEHMET BAYRAM</t>
  </si>
  <si>
    <t>HARCI BEN ÖDEDİM</t>
  </si>
  <si>
    <t>FERMANİ DAYI VE HİSS</t>
  </si>
  <si>
    <t>ÖZER SEÇMEN 2330-5</t>
  </si>
  <si>
    <t>HARCI BEN ÖDEYECEM</t>
  </si>
  <si>
    <t>MURAT GÜNEŞ</t>
  </si>
  <si>
    <t>MUSTAFA DAĞLIOĞLU 5197 PARSEL</t>
  </si>
  <si>
    <t>İLHAN AKTAŞ VE ORT 31 PARSEL</t>
  </si>
  <si>
    <t>DEVELİ ESNAF VE SANATKARLAR 3 BLOK</t>
  </si>
  <si>
    <t>UMUT ÖDEME YAPTI</t>
  </si>
  <si>
    <t>KAZIM UZUNER VE HİSS</t>
  </si>
  <si>
    <t>GAVREMZADE ABDULKADİR AĞA VAKFI 4 BLOK</t>
  </si>
  <si>
    <t>-</t>
  </si>
  <si>
    <t>ARNAVUTKÖY TOKİ KALAN 1 BLOK</t>
  </si>
  <si>
    <t>MUSTAFA ÖNCEL - HÜSEYİN UĞUR</t>
  </si>
  <si>
    <t>MALATYA MİLLİ EĞİTİM MÜDÜRLÜĞÜ 2 BLOK</t>
  </si>
  <si>
    <t>12000 ₺ ANLAŞMA BEDELİ</t>
  </si>
  <si>
    <t>SELDA GÜVEN VE HİSS</t>
  </si>
  <si>
    <t>ŞUBAT AYININ CARİSİ 15/02/2026 DA ÖDENECEK</t>
  </si>
  <si>
    <t>Fatura No</t>
  </si>
  <si>
    <t>Hizmet Tutarı</t>
  </si>
  <si>
    <t>Fatura Tutarı</t>
  </si>
  <si>
    <t xml:space="preserve"> Gelir Faturalarım</t>
  </si>
  <si>
    <t>Müşteri Adı</t>
  </si>
  <si>
    <t>Fatura Tarihi</t>
  </si>
  <si>
    <t>Fatura Tipi</t>
  </si>
  <si>
    <t>Vergi Numarası</t>
  </si>
  <si>
    <t>E-ARŞİV</t>
  </si>
  <si>
    <t>Ödenme Durumu</t>
  </si>
  <si>
    <t>VERGİ ORANI</t>
  </si>
  <si>
    <t>Vergi Oranı (KDV)</t>
  </si>
  <si>
    <t>ÖDEME DURUMU</t>
  </si>
  <si>
    <t>FATURALAR SAYFASI İÇİN</t>
  </si>
  <si>
    <t>Ödeme Bekleniyor</t>
  </si>
  <si>
    <t>Ödeme Tamamlandı</t>
  </si>
  <si>
    <t>Fatura Kesilecek</t>
  </si>
  <si>
    <t>Notlar</t>
  </si>
  <si>
    <t>PLANAKS MÜHENDİSLİK MİMARLIK İNŞAAT PEYZAJ EMLAK SANAYİ VE TİCARET LİMİTED ŞİRKETİ</t>
  </si>
  <si>
    <t>3.NOT</t>
  </si>
  <si>
    <t>SAADET SEVİNÇ VE HİSS</t>
  </si>
  <si>
    <t>KREDİ KARTI</t>
  </si>
  <si>
    <t>Z RAPORU</t>
  </si>
  <si>
    <t>SELAMİ KURT</t>
  </si>
  <si>
    <t>TÜRKAN DENİZ VE HİSS 1797-15</t>
  </si>
  <si>
    <t>HASAN HÜSEYİN ÇEVİK VE HİSS</t>
  </si>
  <si>
    <t>ONUR BEY HARİTACI</t>
  </si>
  <si>
    <t>KARAKOÇ İNŞAAT TOKİ 7 BLOK</t>
  </si>
  <si>
    <t>İSRAFİL SEVİŞ</t>
  </si>
  <si>
    <t>ŞÜKRAN ERTAŞ VE HİSS</t>
  </si>
  <si>
    <t>İKİZCE ORTAOKULU</t>
  </si>
  <si>
    <t>HATİCE KIZILDAĞLI</t>
  </si>
  <si>
    <t>CUMA KARA VE HİSS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</si>
</sst>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quot;₺&quot;#,##0.00"/>
    <numFmt numFmtId="164" formatCode="#,##0.00\ &quot;TL&quot;"/>
    <numFmt numFmtId="165" formatCode="&quot;₺&quot;#,##0.00"/>
    <numFmt numFmtId="166" formatCode="#,##0.00\ \T\L"/>
    <numFmt numFmtId="167" formatCode="#,##0.00\ \m\²"/>
  </numFmts>
  <fonts count="31"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2"/>
      <color theme="1"/>
      <name val="Times New Roman"/>
      <family val="1"/>
      <charset val="162"/>
    </font>
    <font>
      <b/>
      <sz val="12"/>
      <color theme="1"/>
      <name val="Calibri"/>
      <family val="2"/>
      <charset val="162"/>
      <scheme val="minor"/>
    </font>
    <font>
      <b/>
      <sz val="12"/>
      <name val="Times New Roman"/>
      <family val="1"/>
      <charset val="162"/>
    </font>
    <font>
      <b/>
      <sz val="18"/>
      <color theme="1"/>
      <name val="Times New Roman"/>
      <family val="1"/>
      <charset val="162"/>
    </font>
    <font>
      <sz val="11"/>
      <color theme="1"/>
      <name val="Calibri"/>
      <family val="2"/>
      <charset val="162"/>
      <scheme val="minor"/>
    </font>
    <font>
      <b/>
      <sz val="11"/>
      <color theme="1"/>
      <name val="Times New Roman"/>
      <family val="1"/>
      <charset val="162"/>
    </font>
    <font>
      <sz val="11"/>
      <color theme="1"/>
      <name val="Calibri"/>
      <family val="2"/>
      <charset val="162"/>
    </font>
    <font>
      <sz val="11"/>
      <color theme="1"/>
      <name val="Times New Roman"/>
      <family val="1"/>
      <charset val="162"/>
    </font>
    <font>
      <b/>
      <sz val="11"/>
      <color rgb="FFFF0000"/>
      <name val="Times New Roman"/>
      <family val="1"/>
      <charset val="162"/>
    </font>
    <font>
      <b/>
      <sz val="12"/>
      <color theme="1"/>
      <name val="Times New Roman"/>
      <family val="1"/>
      <charset val="162"/>
    </font>
    <font>
      <b/>
      <sz val="14"/>
      <color theme="1"/>
      <name val="Times New Roman"/>
      <family val="1"/>
      <charset val="162"/>
    </font>
    <font>
      <b/>
      <sz val="14"/>
      <color rgb="FFFF0000"/>
      <name val="Times New Roman"/>
      <family val="1"/>
      <charset val="162"/>
    </font>
    <font>
      <b/>
      <sz val="16"/>
      <color theme="0"/>
      <name val="Times New Roman"/>
      <family val="1"/>
      <charset val="162"/>
    </font>
    <font>
      <b/>
      <sz val="14"/>
      <color rgb="FF000000"/>
      <name val="Times New Roman"/>
      <family val="1"/>
      <charset val="162"/>
    </font>
    <font>
      <sz val="12"/>
      <color rgb="FF000000"/>
      <name val="Times New Roman"/>
      <family val="1"/>
      <charset val="162"/>
    </font>
    <font>
      <sz val="8"/>
      <name val="Calibri"/>
      <family val="2"/>
      <scheme val="minor"/>
    </font>
    <font>
      <sz val="11"/>
      <color theme="1"/>
      <name val="Calibri"/>
      <family val="2"/>
      <charset val="162"/>
      <scheme val="minor"/>
    </font>
    <font>
      <b/>
      <sz val="11"/>
      <color theme="1"/>
      <name val="Calibri"/>
      <family val="2"/>
      <charset val="162"/>
    </font>
    <font>
      <sz val="11"/>
      <color theme="1"/>
      <name val="Calibri"/>
      <family val="2"/>
      <charset val="162"/>
    </font>
    <font>
      <b/>
      <sz val="14"/>
      <color rgb="FFFF0000"/>
      <name val="Calibri"/>
      <family val="2"/>
      <charset val="162"/>
      <scheme val="minor"/>
    </font>
    <font>
      <b/>
      <sz val="11"/>
      <color theme="1"/>
      <name val="Calibri"/>
      <family val="2"/>
      <charset val="162"/>
      <scheme val="minor"/>
    </font>
    <font>
      <b/>
      <sz val="12"/>
      <name val="Calibri"/>
      <family val="2"/>
      <charset val="162"/>
      <scheme val="minor"/>
    </font>
    <font>
      <b/>
      <sz val="22"/>
      <color theme="5"/>
      <name val="Calibri"/>
      <family val="2"/>
      <charset val="162"/>
      <scheme val="minor"/>
    </font>
    <font>
      <b/>
      <sz val="11"/>
      <color rgb="FFFF0000"/>
      <name val="Calibri"/>
      <family val="2"/>
      <charset val="162"/>
      <scheme val="minor"/>
    </font>
    <font>
      <b/>
      <sz val="12"/>
      <color rgb="FFFF0000"/>
      <name val="Calibri"/>
      <family val="2"/>
      <charset val="162"/>
      <scheme val="minor"/>
    </font>
    <font>
      <b/>
      <sz val="14"/>
      <color theme="1"/>
      <name val="Calibri"/>
      <family val="2"/>
      <charset val="162"/>
      <scheme val="minor"/>
    </font>
  </fonts>
  <fills count="5">
    <fill>
      <patternFill patternType="none"/>
    </fill>
    <fill>
      <patternFill patternType="gray125"/>
    </fill>
    <fill>
      <patternFill patternType="solid">
        <fgColor rgb="FFC5E0B3"/>
        <bgColor rgb="FFC5E0B3"/>
      </patternFill>
    </fill>
    <fill>
      <patternFill patternType="solid">
        <fgColor theme="4"/>
        <bgColor indexed="64"/>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ck">
        <color theme="5"/>
      </left>
      <right/>
      <top/>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style="thin">
        <color rgb="FFFF9900"/>
      </left>
      <right style="thin">
        <color rgb="FFFF9900"/>
      </right>
      <top style="thin">
        <color rgb="FFFF9900"/>
      </top>
      <bottom style="thin">
        <color rgb="FFFF9900"/>
      </bottom>
      <diagonal/>
    </border>
    <border>
      <left style="thin">
        <color rgb="FFFF9900"/>
      </left>
      <right style="thin">
        <color rgb="FFFF9900"/>
      </right>
      <top style="thin">
        <color rgb="FFFF9900"/>
      </top>
      <bottom/>
      <diagonal/>
    </border>
  </borders>
  <cellStyleXfs count="4">
    <xf numFmtId="0" fontId="0" fillId="0" borderId="0"/>
    <xf numFmtId="0" fontId="9" fillId="0" borderId="0"/>
    <xf numFmtId="0" fontId="21" fillId="0" borderId="0"/>
    <xf numFmtId="0" fontId="1" fillId="0" borderId="0"/>
  </cellStyleXfs>
  <cellXfs count="126">
    <xf numFmtId="0" fontId="0" fillId="0" borderId="0" xfId="0"/>
    <xf numFmtId="164" fontId="5" fillId="0" borderId="0" xfId="0" applyNumberFormat="1" applyFont="1" applyAlignment="1">
      <alignment horizontal="center" vertical="center"/>
    </xf>
    <xf numFmtId="0" fontId="5" fillId="0" borderId="0" xfId="0" applyFont="1"/>
    <xf numFmtId="0" fontId="12" fillId="0" borderId="0" xfId="0" applyFont="1"/>
    <xf numFmtId="165" fontId="12" fillId="0" borderId="0" xfId="0" applyNumberFormat="1" applyFont="1"/>
    <xf numFmtId="0" fontId="15" fillId="0" borderId="1" xfId="0" applyFont="1" applyBorder="1" applyAlignment="1">
      <alignment vertical="center"/>
    </xf>
    <xf numFmtId="0" fontId="5" fillId="0" borderId="1" xfId="0" applyFont="1" applyBorder="1" applyAlignment="1">
      <alignment vertical="center"/>
    </xf>
    <xf numFmtId="164" fontId="5" fillId="0" borderId="1" xfId="0" applyNumberFormat="1" applyFont="1" applyBorder="1" applyAlignment="1">
      <alignment vertical="center"/>
    </xf>
    <xf numFmtId="164" fontId="15" fillId="0" borderId="1" xfId="0" applyNumberFormat="1" applyFont="1" applyBorder="1" applyAlignment="1">
      <alignment vertical="center"/>
    </xf>
    <xf numFmtId="17" fontId="10" fillId="0" borderId="21" xfId="0" applyNumberFormat="1" applyFont="1" applyBorder="1" applyAlignment="1">
      <alignment horizontal="center" vertical="center"/>
    </xf>
    <xf numFmtId="17" fontId="10" fillId="0" borderId="1" xfId="0" applyNumberFormat="1" applyFont="1" applyBorder="1" applyAlignment="1">
      <alignment horizontal="center" vertical="center"/>
    </xf>
    <xf numFmtId="164" fontId="14" fillId="0" borderId="21" xfId="0" applyNumberFormat="1" applyFont="1" applyBorder="1" applyAlignment="1">
      <alignment horizontal="center" vertical="center"/>
    </xf>
    <xf numFmtId="164" fontId="14" fillId="0" borderId="1" xfId="0" applyNumberFormat="1" applyFont="1" applyBorder="1" applyAlignment="1">
      <alignment horizontal="center" vertical="center"/>
    </xf>
    <xf numFmtId="164" fontId="16" fillId="0" borderId="3" xfId="0" applyNumberFormat="1" applyFont="1" applyBorder="1" applyAlignment="1">
      <alignment vertical="center"/>
    </xf>
    <xf numFmtId="0" fontId="16" fillId="0" borderId="3" xfId="0" applyFont="1" applyBorder="1" applyAlignment="1">
      <alignment horizontal="center" vertical="center"/>
    </xf>
    <xf numFmtId="0" fontId="15" fillId="0" borderId="1" xfId="0" applyFont="1" applyBorder="1" applyAlignment="1">
      <alignment horizontal="center" vertical="center"/>
    </xf>
    <xf numFmtId="17" fontId="15" fillId="0" borderId="1" xfId="0" applyNumberFormat="1" applyFont="1" applyBorder="1" applyAlignment="1">
      <alignment horizontal="center" vertical="center"/>
    </xf>
    <xf numFmtId="0" fontId="5" fillId="0" borderId="1" xfId="0" applyFont="1" applyBorder="1" applyAlignment="1">
      <alignment horizontal="left" vertical="center"/>
    </xf>
    <xf numFmtId="165" fontId="5" fillId="0" borderId="0" xfId="0" applyNumberFormat="1" applyFont="1" applyAlignment="1">
      <alignment horizontal="center" vertical="center"/>
    </xf>
    <xf numFmtId="165" fontId="12" fillId="0" borderId="0" xfId="0" applyNumberFormat="1" applyFont="1" applyAlignment="1">
      <alignment horizontal="center" vertical="center"/>
    </xf>
    <xf numFmtId="0" fontId="14" fillId="0" borderId="0" xfId="0" applyFont="1" applyAlignment="1">
      <alignment horizontal="center" vertical="center"/>
    </xf>
    <xf numFmtId="14" fontId="5" fillId="0" borderId="0" xfId="0" applyNumberFormat="1" applyFont="1" applyAlignment="1">
      <alignment vertical="center"/>
    </xf>
    <xf numFmtId="0" fontId="5" fillId="0" borderId="0" xfId="0" applyFont="1" applyAlignment="1">
      <alignment vertical="center"/>
    </xf>
    <xf numFmtId="0" fontId="15" fillId="0" borderId="0" xfId="0" applyFont="1" applyAlignment="1">
      <alignment vertical="center"/>
    </xf>
    <xf numFmtId="0" fontId="15" fillId="0" borderId="0" xfId="0" applyFont="1" applyAlignment="1">
      <alignment horizontal="center" vertical="center"/>
    </xf>
    <xf numFmtId="166" fontId="14" fillId="0" borderId="0" xfId="0" applyNumberFormat="1" applyFont="1" applyAlignment="1">
      <alignment horizontal="center" vertical="center"/>
    </xf>
    <xf numFmtId="166" fontId="5" fillId="0" borderId="0" xfId="0" applyNumberFormat="1" applyFont="1" applyAlignment="1">
      <alignment horizontal="center" vertical="center"/>
    </xf>
    <xf numFmtId="166" fontId="15" fillId="0" borderId="0" xfId="0" applyNumberFormat="1" applyFont="1" applyAlignment="1">
      <alignment horizontal="center" vertical="center"/>
    </xf>
    <xf numFmtId="166" fontId="5" fillId="0" borderId="0" xfId="0" applyNumberFormat="1" applyFont="1"/>
    <xf numFmtId="0" fontId="18" fillId="0" borderId="0" xfId="0" applyFont="1"/>
    <xf numFmtId="165" fontId="19" fillId="0" borderId="0" xfId="0" applyNumberFormat="1" applyFont="1" applyAlignment="1">
      <alignment horizontal="center" vertical="center"/>
    </xf>
    <xf numFmtId="0" fontId="19" fillId="0" borderId="0" xfId="0" applyFont="1" applyAlignment="1">
      <alignment horizontal="center" vertical="center"/>
    </xf>
    <xf numFmtId="164" fontId="7" fillId="0" borderId="3" xfId="0" applyNumberFormat="1" applyFont="1" applyBorder="1" applyAlignment="1">
      <alignment vertical="center"/>
    </xf>
    <xf numFmtId="0" fontId="22" fillId="0" borderId="0" xfId="2" applyFont="1"/>
    <xf numFmtId="0" fontId="21" fillId="0" borderId="0" xfId="2"/>
    <xf numFmtId="17" fontId="23" fillId="0" borderId="1" xfId="2" applyNumberFormat="1" applyFont="1" applyBorder="1" applyAlignment="1">
      <alignment horizontal="center" vertical="center"/>
    </xf>
    <xf numFmtId="14" fontId="23" fillId="0" borderId="1" xfId="2" applyNumberFormat="1" applyFont="1" applyBorder="1" applyAlignment="1">
      <alignment textRotation="90"/>
    </xf>
    <xf numFmtId="1" fontId="23" fillId="0" borderId="1" xfId="2" applyNumberFormat="1" applyFont="1" applyBorder="1"/>
    <xf numFmtId="0" fontId="21" fillId="0" borderId="1" xfId="2" applyBorder="1"/>
    <xf numFmtId="0" fontId="4" fillId="0" borderId="0" xfId="2" applyFont="1"/>
    <xf numFmtId="165" fontId="21" fillId="0" borderId="0" xfId="2" applyNumberFormat="1"/>
    <xf numFmtId="0" fontId="11" fillId="0" borderId="1" xfId="2" applyFont="1" applyBorder="1"/>
    <xf numFmtId="0" fontId="25" fillId="0" borderId="0" xfId="0" applyFont="1"/>
    <xf numFmtId="164" fontId="12" fillId="0" borderId="0" xfId="0" applyNumberFormat="1" applyFont="1"/>
    <xf numFmtId="0" fontId="3" fillId="0" borderId="0" xfId="2" applyFont="1"/>
    <xf numFmtId="166" fontId="14" fillId="0" borderId="0" xfId="0" applyNumberFormat="1" applyFont="1" applyAlignment="1">
      <alignment vertical="center"/>
    </xf>
    <xf numFmtId="0" fontId="2" fillId="0" borderId="0" xfId="2" applyFont="1"/>
    <xf numFmtId="1" fontId="6" fillId="0" borderId="1" xfId="2" applyNumberFormat="1" applyFont="1" applyBorder="1" applyAlignment="1">
      <alignment horizontal="center" vertical="center"/>
    </xf>
    <xf numFmtId="165" fontId="26" fillId="0" borderId="1" xfId="2" applyNumberFormat="1" applyFont="1" applyBorder="1" applyAlignment="1">
      <alignment horizontal="center" vertical="center" wrapText="1"/>
    </xf>
    <xf numFmtId="0" fontId="26" fillId="0" borderId="1" xfId="2" applyFont="1" applyBorder="1" applyAlignment="1">
      <alignment horizontal="center" vertical="center"/>
    </xf>
    <xf numFmtId="1" fontId="21" fillId="0" borderId="1" xfId="2" applyNumberFormat="1" applyBorder="1"/>
    <xf numFmtId="165" fontId="21" fillId="0" borderId="1" xfId="2" applyNumberFormat="1" applyBorder="1"/>
    <xf numFmtId="165" fontId="24" fillId="0" borderId="1" xfId="2" applyNumberFormat="1" applyFont="1" applyBorder="1"/>
    <xf numFmtId="7" fontId="5" fillId="0" borderId="0" xfId="0" applyNumberFormat="1" applyFont="1" applyAlignment="1">
      <alignment horizontal="center" vertical="center"/>
    </xf>
    <xf numFmtId="0" fontId="1" fillId="0" borderId="0" xfId="3"/>
    <xf numFmtId="2" fontId="11" fillId="0" borderId="0" xfId="3" applyNumberFormat="1" applyFont="1"/>
    <xf numFmtId="0" fontId="11" fillId="0" borderId="0" xfId="3" applyFont="1"/>
    <xf numFmtId="0" fontId="10" fillId="0" borderId="11" xfId="3" applyFont="1" applyBorder="1"/>
    <xf numFmtId="165" fontId="10" fillId="0" borderId="11" xfId="3" applyNumberFormat="1" applyFont="1" applyBorder="1"/>
    <xf numFmtId="0" fontId="11" fillId="0" borderId="12" xfId="3" applyFont="1" applyBorder="1"/>
    <xf numFmtId="0" fontId="11" fillId="0" borderId="11" xfId="3" applyFont="1" applyBorder="1"/>
    <xf numFmtId="2" fontId="11" fillId="0" borderId="11" xfId="3" applyNumberFormat="1" applyFont="1" applyBorder="1"/>
    <xf numFmtId="165" fontId="11" fillId="0" borderId="13" xfId="3" applyNumberFormat="1" applyFont="1" applyBorder="1"/>
    <xf numFmtId="0" fontId="12" fillId="0" borderId="11" xfId="3" applyFont="1" applyBorder="1"/>
    <xf numFmtId="2" fontId="12" fillId="0" borderId="11" xfId="3" applyNumberFormat="1" applyFont="1" applyBorder="1"/>
    <xf numFmtId="4" fontId="12" fillId="0" borderId="11" xfId="3" applyNumberFormat="1" applyFont="1" applyBorder="1"/>
    <xf numFmtId="166" fontId="12" fillId="0" borderId="11" xfId="3" applyNumberFormat="1" applyFont="1" applyBorder="1"/>
    <xf numFmtId="2" fontId="11" fillId="2" borderId="11" xfId="3" applyNumberFormat="1" applyFont="1" applyFill="1" applyBorder="1"/>
    <xf numFmtId="166" fontId="10" fillId="0" borderId="11" xfId="3" applyNumberFormat="1" applyFont="1" applyBorder="1" applyAlignment="1">
      <alignment horizontal="left" vertical="center"/>
    </xf>
    <xf numFmtId="2" fontId="11" fillId="0" borderId="4" xfId="3" applyNumberFormat="1" applyFont="1" applyBorder="1"/>
    <xf numFmtId="165" fontId="11" fillId="0" borderId="15" xfId="3" applyNumberFormat="1" applyFont="1" applyBorder="1"/>
    <xf numFmtId="167" fontId="10" fillId="0" borderId="11" xfId="3" applyNumberFormat="1" applyFont="1" applyBorder="1"/>
    <xf numFmtId="166" fontId="10" fillId="0" borderId="11" xfId="3" applyNumberFormat="1" applyFont="1" applyBorder="1"/>
    <xf numFmtId="165" fontId="11" fillId="0" borderId="19" xfId="3" applyNumberFormat="1" applyFont="1" applyBorder="1"/>
    <xf numFmtId="166" fontId="13" fillId="0" borderId="11" xfId="3" applyNumberFormat="1" applyFont="1" applyBorder="1"/>
    <xf numFmtId="165" fontId="11" fillId="0" borderId="0" xfId="3" applyNumberFormat="1" applyFont="1"/>
    <xf numFmtId="0" fontId="5"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vertical="center"/>
    </xf>
    <xf numFmtId="0" fontId="0" fillId="4" borderId="0" xfId="0" applyFill="1"/>
    <xf numFmtId="0" fontId="27" fillId="0" borderId="23" xfId="0" applyFont="1" applyBorder="1" applyAlignment="1">
      <alignment horizontal="left" vertical="center" indent="1"/>
    </xf>
    <xf numFmtId="0" fontId="0" fillId="0" borderId="0" xfId="0" applyAlignment="1">
      <alignment horizontal="center" vertical="center"/>
    </xf>
    <xf numFmtId="14" fontId="0" fillId="0" borderId="0" xfId="0" applyNumberFormat="1" applyAlignment="1">
      <alignment horizontal="left" vertical="center"/>
    </xf>
    <xf numFmtId="0" fontId="0" fillId="0" borderId="0" xfId="0" applyAlignment="1">
      <alignment horizontal="left" vertical="center"/>
    </xf>
    <xf numFmtId="165" fontId="0" fillId="0" borderId="0" xfId="0" applyNumberFormat="1" applyAlignment="1">
      <alignment horizontal="center" vertical="center"/>
    </xf>
    <xf numFmtId="0" fontId="27" fillId="0" borderId="0" xfId="0" applyFont="1" applyAlignment="1">
      <alignment horizontal="left" vertical="center" indent="1"/>
    </xf>
    <xf numFmtId="0" fontId="0" fillId="0" borderId="0" xfId="0" applyAlignment="1">
      <alignment horizontal="left" vertical="center" wrapText="1"/>
    </xf>
    <xf numFmtId="9" fontId="0" fillId="0" borderId="0" xfId="0" applyNumberFormat="1"/>
    <xf numFmtId="164" fontId="0" fillId="0" borderId="0" xfId="0" applyNumberFormat="1" applyAlignment="1">
      <alignment horizontal="center" vertical="center"/>
    </xf>
    <xf numFmtId="0" fontId="0" fillId="0" borderId="27" xfId="0" applyBorder="1" applyAlignment="1">
      <alignment horizontal="left" vertical="center"/>
    </xf>
    <xf numFmtId="0" fontId="0" fillId="0" borderId="27" xfId="0" applyBorder="1" applyAlignment="1">
      <alignment horizontal="center" vertical="center"/>
    </xf>
    <xf numFmtId="14" fontId="0" fillId="0" borderId="27" xfId="0" applyNumberFormat="1" applyBorder="1" applyAlignment="1">
      <alignment horizontal="left" vertical="center"/>
    </xf>
    <xf numFmtId="164" fontId="29" fillId="0" borderId="27" xfId="0" applyNumberFormat="1" applyFont="1" applyBorder="1" applyAlignment="1">
      <alignment horizontal="center" vertical="center"/>
    </xf>
    <xf numFmtId="0" fontId="29" fillId="0" borderId="28" xfId="0" applyFont="1" applyBorder="1" applyAlignment="1">
      <alignment horizontal="center" vertical="center"/>
    </xf>
    <xf numFmtId="0" fontId="28" fillId="0" borderId="0" xfId="0" applyFont="1" applyAlignment="1">
      <alignment horizontal="center"/>
    </xf>
    <xf numFmtId="0" fontId="30" fillId="0" borderId="24" xfId="0" applyFont="1" applyBorder="1" applyAlignment="1">
      <alignment horizontal="center" vertical="center"/>
    </xf>
    <xf numFmtId="0" fontId="30" fillId="0" borderId="25" xfId="0" applyFont="1" applyBorder="1" applyAlignment="1">
      <alignment horizontal="center" vertical="center"/>
    </xf>
    <xf numFmtId="0" fontId="30" fillId="0" borderId="26" xfId="0" applyFont="1" applyBorder="1" applyAlignment="1">
      <alignment horizontal="center" vertical="center"/>
    </xf>
    <xf numFmtId="0" fontId="8" fillId="0" borderId="22" xfId="0" applyFont="1" applyBorder="1" applyAlignment="1">
      <alignment horizontal="center" vertical="center"/>
    </xf>
    <xf numFmtId="0" fontId="8" fillId="0" borderId="20"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wrapText="1"/>
    </xf>
    <xf numFmtId="0" fontId="8" fillId="0" borderId="20" xfId="0" applyFont="1" applyBorder="1" applyAlignment="1">
      <alignment horizontal="center" vertical="center" wrapText="1"/>
    </xf>
    <xf numFmtId="164" fontId="15" fillId="0" borderId="22" xfId="0" applyNumberFormat="1" applyFont="1" applyBorder="1" applyAlignment="1">
      <alignment horizontal="center" vertical="center"/>
    </xf>
    <xf numFmtId="164" fontId="15" fillId="0" borderId="20" xfId="0" applyNumberFormat="1" applyFont="1" applyBorder="1" applyAlignment="1">
      <alignment horizontal="center" vertical="center"/>
    </xf>
    <xf numFmtId="164" fontId="15" fillId="0" borderId="2" xfId="0" applyNumberFormat="1" applyFont="1" applyBorder="1" applyAlignment="1">
      <alignment horizontal="center" vertical="center"/>
    </xf>
    <xf numFmtId="0" fontId="17" fillId="3" borderId="0" xfId="0" applyFont="1" applyFill="1" applyAlignment="1">
      <alignment horizontal="center" vertical="center" wrapText="1"/>
    </xf>
    <xf numFmtId="0" fontId="10" fillId="0" borderId="5" xfId="3" applyFont="1" applyBorder="1" applyAlignment="1">
      <alignment horizontal="center" wrapText="1"/>
    </xf>
    <xf numFmtId="0" fontId="10" fillId="0" borderId="6" xfId="3" applyFont="1" applyBorder="1" applyAlignment="1">
      <alignment horizontal="center" wrapText="1"/>
    </xf>
    <xf numFmtId="0" fontId="10" fillId="0" borderId="7" xfId="3" applyFont="1" applyBorder="1" applyAlignment="1">
      <alignment horizontal="center" wrapText="1"/>
    </xf>
    <xf numFmtId="0" fontId="11" fillId="0" borderId="8" xfId="3" applyFont="1" applyBorder="1" applyAlignment="1">
      <alignment horizontal="center"/>
    </xf>
    <xf numFmtId="0" fontId="11" fillId="0" borderId="9" xfId="3" applyFont="1" applyBorder="1" applyAlignment="1">
      <alignment horizontal="center"/>
    </xf>
    <xf numFmtId="0" fontId="11" fillId="0" borderId="10" xfId="3" applyFont="1" applyBorder="1" applyAlignment="1">
      <alignment horizontal="center"/>
    </xf>
    <xf numFmtId="0" fontId="11" fillId="0" borderId="14" xfId="3" applyFont="1" applyBorder="1" applyAlignment="1">
      <alignment horizontal="center"/>
    </xf>
    <xf numFmtId="0" fontId="11" fillId="0" borderId="6" xfId="3" applyFont="1" applyBorder="1" applyAlignment="1">
      <alignment horizontal="center"/>
    </xf>
    <xf numFmtId="0" fontId="10" fillId="0" borderId="5" xfId="3" applyFont="1" applyBorder="1" applyAlignment="1">
      <alignment horizontal="center"/>
    </xf>
    <xf numFmtId="0" fontId="10" fillId="0" borderId="7" xfId="3" applyFont="1" applyBorder="1" applyAlignment="1">
      <alignment horizontal="center"/>
    </xf>
    <xf numFmtId="0" fontId="11" fillId="0" borderId="16" xfId="3" applyFont="1" applyBorder="1" applyAlignment="1">
      <alignment horizontal="center"/>
    </xf>
    <xf numFmtId="0" fontId="11" fillId="0" borderId="17" xfId="3" applyFont="1" applyBorder="1" applyAlignment="1">
      <alignment horizontal="center"/>
    </xf>
    <xf numFmtId="0" fontId="11" fillId="0" borderId="18" xfId="3" applyFont="1" applyBorder="1" applyAlignment="1">
      <alignment horizontal="center"/>
    </xf>
    <xf numFmtId="0" fontId="13" fillId="0" borderId="5" xfId="3" applyFont="1" applyBorder="1" applyAlignment="1">
      <alignment horizontal="center"/>
    </xf>
    <xf numFmtId="0" fontId="13" fillId="0" borderId="6" xfId="3" applyFont="1" applyBorder="1" applyAlignment="1">
      <alignment horizontal="center"/>
    </xf>
    <xf numFmtId="0" fontId="13" fillId="0" borderId="7" xfId="3" applyFont="1" applyBorder="1" applyAlignment="1">
      <alignment horizontal="center"/>
    </xf>
    <xf numFmtId="0" fontId="24" fillId="0" borderId="3" xfId="2" applyFont="1" applyBorder="1" applyAlignment="1">
      <alignment horizontal="right"/>
    </xf>
    <xf numFmtId="0" fontId="24" fillId="0" borderId="20" xfId="2" applyFont="1" applyBorder="1" applyAlignment="1">
      <alignment horizontal="right"/>
    </xf>
    <xf numFmtId="0" fontId="24" fillId="0" borderId="2" xfId="2" applyFont="1" applyBorder="1" applyAlignment="1">
      <alignment horizontal="right"/>
    </xf>
  </cellXfs>
  <cellStyles count="4">
    <cellStyle name="Normal" xfId="0" builtinId="0"/>
    <cellStyle name="Normal 2" xfId="1" xr:uid="{731EB4D0-F122-418E-B532-90F6E459F5F2}"/>
    <cellStyle name="Normal 2 2" xfId="3" xr:uid="{6D16A421-35AD-4018-9625-DAA9F7C0170B}"/>
    <cellStyle name="Normal 3" xfId="2" xr:uid="{0E3FBD1D-10DE-46A8-88CD-9E5408C4BE95}"/>
  </cellStyles>
  <dxfs count="92">
    <dxf>
      <font>
        <b/>
        <i val="0"/>
        <strike val="0"/>
        <condense val="0"/>
        <extend val="0"/>
        <outline val="0"/>
        <shadow val="0"/>
        <u val="none"/>
        <vertAlign val="baseline"/>
        <sz val="14"/>
        <color rgb="FF000000"/>
        <name val="Times New Roman"/>
        <family val="1"/>
        <charset val="162"/>
        <scheme val="none"/>
      </font>
      <alignment horizontal="center" vertical="center" textRotation="0" wrapText="0" indent="0" justifyLastLine="0" shrinkToFit="0" readingOrder="0"/>
    </dxf>
    <dxf>
      <font>
        <b/>
        <i val="0"/>
        <strike val="0"/>
        <condense val="0"/>
        <extend val="0"/>
        <outline val="0"/>
        <shadow val="0"/>
        <u val="none"/>
        <vertAlign val="baseline"/>
        <sz val="14"/>
        <color rgb="FF000000"/>
        <name val="Times New Roman"/>
        <family val="1"/>
        <charset val="162"/>
        <scheme val="none"/>
      </font>
    </dxf>
    <dxf>
      <font>
        <b/>
        <i val="0"/>
        <strike val="0"/>
        <condense val="0"/>
        <extend val="0"/>
        <outline val="0"/>
        <shadow val="0"/>
        <u val="none"/>
        <vertAlign val="baseline"/>
        <sz val="14"/>
        <color theme="1"/>
        <name val="Times New Roman"/>
        <family val="1"/>
        <charset val="16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numFmt numFmtId="166" formatCode="#,##0.00\ \T\L"/>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rgb="FF000000"/>
        <name val="Times New Roman"/>
        <family val="1"/>
        <charset val="162"/>
        <scheme val="none"/>
      </font>
    </dxf>
    <dxf>
      <font>
        <b/>
        <i val="0"/>
        <strike val="0"/>
        <condense val="0"/>
        <extend val="0"/>
        <outline val="0"/>
        <shadow val="0"/>
        <u val="none"/>
        <vertAlign val="baseline"/>
        <sz val="14"/>
        <color theme="1"/>
        <name val="Times New Roman"/>
        <family val="1"/>
        <charset val="16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numFmt numFmtId="166" formatCode="#,##0.00\ \T\L"/>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4"/>
        <color theme="1"/>
        <name val="Times New Roman"/>
        <family val="1"/>
        <charset val="162"/>
        <scheme val="none"/>
      </font>
      <alignment horizontal="general" vertical="center" textRotation="0" wrapText="0" indent="0" justifyLastLine="0" shrinkToFit="0" readingOrder="0"/>
    </dxf>
    <dxf>
      <font>
        <b/>
        <i val="0"/>
        <strike val="0"/>
        <condense val="0"/>
        <extend val="0"/>
        <outline val="0"/>
        <shadow val="0"/>
        <u val="none"/>
        <vertAlign val="baseline"/>
        <sz val="12"/>
        <color rgb="FFFF0000"/>
        <name val="Calibri"/>
        <family val="2"/>
        <charset val="162"/>
        <scheme val="minor"/>
      </font>
      <alignment horizontal="center" vertical="center" textRotation="0" wrapText="0" indent="0" justifyLastLine="0" shrinkToFit="0" readingOrder="0"/>
      <border diagonalUp="0" diagonalDown="0" outline="0">
        <left style="thin">
          <color rgb="FFFF9900"/>
        </left>
        <right style="thin">
          <color rgb="FFFF9900"/>
        </right>
        <top style="thin">
          <color rgb="FFFF9900"/>
        </top>
        <bottom/>
      </border>
    </dxf>
    <dxf>
      <alignment horizontal="center"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font>
        <b/>
        <i val="0"/>
        <strike val="0"/>
        <condense val="0"/>
        <extend val="0"/>
        <outline val="0"/>
        <shadow val="0"/>
        <u val="none"/>
        <vertAlign val="baseline"/>
        <sz val="12"/>
        <color rgb="FFFF0000"/>
        <name val="Calibri"/>
        <family val="2"/>
        <charset val="162"/>
        <scheme val="minor"/>
      </font>
      <numFmt numFmtId="164" formatCode="#,##0.00\ &quot;TL&quot;"/>
      <alignment horizontal="center"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font>
        <b/>
        <i val="0"/>
        <strike val="0"/>
        <condense val="0"/>
        <extend val="0"/>
        <outline val="0"/>
        <shadow val="0"/>
        <u val="none"/>
        <vertAlign val="baseline"/>
        <sz val="12"/>
        <color rgb="FFFF0000"/>
        <name val="Calibri"/>
        <family val="2"/>
        <charset val="162"/>
        <scheme val="minor"/>
      </font>
      <numFmt numFmtId="164" formatCode="#,##0.00\ &quot;TL&quot;"/>
      <alignment horizontal="center"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font>
        <b/>
        <i val="0"/>
        <strike val="0"/>
        <condense val="0"/>
        <extend val="0"/>
        <outline val="0"/>
        <shadow val="0"/>
        <u val="none"/>
        <vertAlign val="baseline"/>
        <sz val="12"/>
        <color rgb="FFFF0000"/>
        <name val="Calibri"/>
        <family val="2"/>
        <charset val="162"/>
        <scheme val="minor"/>
      </font>
      <numFmt numFmtId="164" formatCode="#,##0.00\ &quot;TL&quot;"/>
      <alignment horizontal="center"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alignment horizontal="left"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alignment horizontal="left"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alignment horizontal="left"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alignment horizontal="left"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numFmt numFmtId="19" formatCode="dd/mm/yyyy"/>
      <alignment horizontal="left" vertical="center" textRotation="0" wrapText="0" indent="0" justifyLastLine="0" shrinkToFit="0" readingOrder="0"/>
      <border diagonalUp="0" diagonalDown="0" outline="0">
        <left style="thin">
          <color rgb="FFFF9900"/>
        </left>
        <right style="thin">
          <color rgb="FFFF9900"/>
        </right>
        <top style="thin">
          <color rgb="FFFF9900"/>
        </top>
        <bottom style="thin">
          <color rgb="FFFF9900"/>
        </bottom>
      </border>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theme="5"/>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theme="5"/>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theme="5"/>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theme="5"/>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FFC000"/>
          </stop>
        </gradientFill>
      </fill>
    </dxf>
    <dxf>
      <font>
        <strike val="0"/>
        <outline val="0"/>
        <shadow val="0"/>
        <u val="none"/>
        <vertAlign val="baseline"/>
        <sz val="12"/>
        <color rgb="FF000000"/>
        <name val="Times New Roman"/>
        <family val="1"/>
        <charset val="162"/>
        <scheme val="none"/>
      </font>
      <alignment vertical="center" textRotation="0" wrapText="0" indent="0" justifyLastLine="0" shrinkToFit="0" readingOrder="0"/>
    </dxf>
    <dxf>
      <font>
        <strike val="0"/>
        <outline val="0"/>
        <shadow val="0"/>
        <u val="none"/>
        <vertAlign val="baseline"/>
        <sz val="12"/>
        <color rgb="FF000000"/>
        <name val="Times New Roman"/>
        <family val="1"/>
        <charset val="162"/>
        <scheme val="none"/>
      </font>
      <alignment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numFmt numFmtId="11" formatCode="&quot;₺&quot;#,##0.00;\-&quot;₺&quot;#,##0.00"/>
      <alignment horizontal="center" vertical="center" textRotation="0" wrapText="0" indent="0" justifyLastLine="0" shrinkToFit="0" readingOrder="0"/>
    </dxf>
    <dxf>
      <font>
        <strike val="0"/>
        <outline val="0"/>
        <shadow val="0"/>
        <u val="none"/>
        <vertAlign val="baseline"/>
        <sz val="12"/>
        <color theme="1"/>
        <name val="Times New Roman"/>
        <family val="1"/>
        <charset val="162"/>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numFmt numFmtId="166" formatCode="#,##0.00\ \T\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numFmt numFmtId="164" formatCode="#,##0.00\ &quot;TL&quot;"/>
      <alignment horizontal="center" vertical="center" textRotation="0" wrapText="0" indent="0" justifyLastLine="0" shrinkToFit="0" readingOrder="0"/>
    </dxf>
    <dxf>
      <font>
        <strike val="0"/>
        <outline val="0"/>
        <shadow val="0"/>
        <u val="none"/>
        <vertAlign val="baseline"/>
        <sz val="12"/>
        <color theme="1"/>
        <name val="Times New Roman"/>
        <family val="1"/>
        <charset val="162"/>
        <scheme val="none"/>
      </font>
      <alignment vertical="center" textRotation="0" wrapText="0" indent="0" justifyLastLine="0" shrinkToFit="0" readingOrder="0"/>
    </dxf>
    <dxf>
      <font>
        <strike val="0"/>
        <outline val="0"/>
        <shadow val="0"/>
        <u val="none"/>
        <vertAlign val="baseline"/>
        <sz val="12"/>
        <color theme="1"/>
        <name val="Times New Roman"/>
        <family val="1"/>
        <charset val="162"/>
        <scheme val="none"/>
      </font>
      <alignment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charset val="162"/>
        <scheme val="none"/>
      </font>
      <numFmt numFmtId="0" formatCode="General"/>
      <alignment vertical="center" textRotation="0" wrapText="0" indent="0" justifyLastLine="0" shrinkToFit="0" readingOrder="0"/>
    </dxf>
    <dxf>
      <font>
        <strike val="0"/>
        <outline val="0"/>
        <shadow val="0"/>
        <u val="none"/>
        <vertAlign val="baseline"/>
        <sz val="12"/>
        <color theme="1"/>
        <name val="Times New Roman"/>
        <family val="1"/>
        <charset val="162"/>
        <scheme val="none"/>
      </font>
      <alignment vertical="center" textRotation="0" wrapText="0" indent="0" justifyLastLine="0" shrinkToFit="0" readingOrder="0"/>
    </dxf>
    <dxf>
      <font>
        <b/>
        <strike val="0"/>
        <outline val="0"/>
        <shadow val="0"/>
        <u val="none"/>
        <vertAlign val="baseline"/>
        <sz val="14"/>
        <color rgb="FF000000"/>
        <name val="Times New Roman"/>
        <family val="1"/>
        <charset val="162"/>
        <scheme val="none"/>
      </font>
    </dxf>
    <dxf>
      <font>
        <strike val="0"/>
        <outline val="0"/>
        <shadow val="0"/>
        <u val="none"/>
        <vertAlign val="baseline"/>
        <sz val="12"/>
        <color rgb="FF000000"/>
        <name val="Times New Roman"/>
        <family val="1"/>
        <charset val="162"/>
        <scheme val="none"/>
      </font>
      <alignment vertical="center" textRotation="0" wrapText="0" indent="0" justifyLastLine="0" shrinkToFit="0" readingOrder="0"/>
    </dxf>
    <dxf>
      <font>
        <b/>
        <i val="0"/>
        <strike val="0"/>
        <condense val="0"/>
        <extend val="0"/>
        <outline val="0"/>
        <shadow val="0"/>
        <u val="none"/>
        <vertAlign val="baseline"/>
        <sz val="12"/>
        <color theme="1"/>
        <name val="Times New Roman"/>
        <family val="1"/>
        <charset val="162"/>
        <scheme val="none"/>
      </font>
      <alignment horizontal="center" vertical="center" textRotation="0" wrapText="0" indent="0" justifyLastLine="0" shrinkToFit="0" readingOrder="0"/>
    </dxf>
    <dxf>
      <font>
        <strike val="0"/>
        <outline val="0"/>
        <shadow val="0"/>
        <u val="none"/>
        <vertAlign val="baseline"/>
        <sz val="12"/>
        <color rgb="FF000000"/>
        <name val="Times New Roman"/>
        <family val="1"/>
        <charset val="162"/>
        <scheme val="none"/>
      </font>
      <alignment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numFmt numFmtId="165" formatCode="&quot;₺&quot;#,##0.00"/>
      <alignment horizontal="center" vertical="center" textRotation="0" wrapText="0" indent="0" justifyLastLine="0" shrinkToFit="0" readingOrder="0"/>
    </dxf>
    <dxf>
      <font>
        <strike val="0"/>
        <outline val="0"/>
        <shadow val="0"/>
        <u val="none"/>
        <vertAlign val="baseline"/>
        <sz val="12"/>
        <color theme="1"/>
        <name val="Times New Roman"/>
        <family val="1"/>
        <charset val="162"/>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numFmt numFmtId="166" formatCode="#,##0.00\ \T\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numFmt numFmtId="164" formatCode="#,##0.00\ &quot;TL&quot;"/>
      <alignment horizontal="center" vertical="center" textRotation="0" wrapText="0" indent="0" justifyLastLine="0" shrinkToFit="0" readingOrder="0"/>
    </dxf>
    <dxf>
      <font>
        <strike val="0"/>
        <outline val="0"/>
        <shadow val="0"/>
        <u val="none"/>
        <vertAlign val="baseline"/>
        <sz val="12"/>
        <color theme="1"/>
        <name val="Times New Roman"/>
        <family val="1"/>
        <charset val="162"/>
        <scheme val="none"/>
      </font>
      <alignment vertical="center" textRotation="0" wrapText="0" indent="0" justifyLastLine="0" shrinkToFit="0" readingOrder="0"/>
    </dxf>
    <dxf>
      <font>
        <strike val="0"/>
        <outline val="0"/>
        <shadow val="0"/>
        <u val="none"/>
        <vertAlign val="baseline"/>
        <sz val="12"/>
        <color theme="1"/>
        <name val="Times New Roman"/>
        <family val="1"/>
        <charset val="162"/>
        <scheme val="none"/>
      </font>
      <alignment vertical="center" textRotation="0" wrapText="0" indent="0" justifyLastLine="0" shrinkToFit="0" readingOrder="0"/>
    </dxf>
    <dxf>
      <font>
        <b val="0"/>
        <i val="0"/>
        <strike val="0"/>
        <condense val="0"/>
        <extend val="0"/>
        <outline val="0"/>
        <shadow val="0"/>
        <u val="none"/>
        <vertAlign val="baseline"/>
        <sz val="12"/>
        <color theme="1"/>
        <name val="Times New Roman"/>
        <family val="1"/>
        <charset val="162"/>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charset val="162"/>
        <scheme val="none"/>
      </font>
      <numFmt numFmtId="0" formatCode="General"/>
      <alignment vertical="center" textRotation="0" wrapText="0" indent="0" justifyLastLine="0" shrinkToFit="0" readingOrder="0"/>
    </dxf>
    <dxf>
      <font>
        <strike val="0"/>
        <outline val="0"/>
        <shadow val="0"/>
        <u val="none"/>
        <vertAlign val="baseline"/>
        <sz val="12"/>
        <color theme="1"/>
        <name val="Times New Roman"/>
        <family val="1"/>
        <charset val="162"/>
        <scheme val="none"/>
      </font>
      <alignment vertical="center" textRotation="0" wrapText="0" indent="0" justifyLastLine="0" shrinkToFit="0" readingOrder="0"/>
    </dxf>
    <dxf>
      <font>
        <b/>
        <strike val="0"/>
        <outline val="0"/>
        <shadow val="0"/>
        <u val="none"/>
        <vertAlign val="baseline"/>
        <sz val="14"/>
        <color rgb="FF000000"/>
        <name val="Times New Roman"/>
        <family val="1"/>
        <charset val="162"/>
        <scheme val="none"/>
      </font>
    </dxf>
    <dxf>
      <font>
        <strike val="0"/>
        <outline val="0"/>
        <shadow val="0"/>
        <u val="none"/>
        <vertAlign val="baseline"/>
        <sz val="12"/>
        <color rgb="FF000000"/>
        <name val="Times New Roman"/>
        <family val="1"/>
        <charset val="162"/>
        <scheme val="none"/>
      </font>
      <alignment vertical="center" textRotation="0" wrapText="0" indent="0" justifyLastLine="0" shrinkToFit="0" readingOrder="0"/>
    </dxf>
    <dxf>
      <font>
        <b/>
        <i val="0"/>
        <strike val="0"/>
        <condense val="0"/>
        <extend val="0"/>
        <outline val="0"/>
        <shadow val="0"/>
        <u val="none"/>
        <vertAlign val="baseline"/>
        <sz val="12"/>
        <color theme="1"/>
        <name val="Times New Roman"/>
        <family val="1"/>
        <charset val="162"/>
        <scheme val="none"/>
      </font>
      <alignment horizontal="center" vertical="center" textRotation="0" wrapText="0" indent="0" justifyLastLine="0" shrinkToFit="0" readingOrder="0"/>
    </dxf>
    <dxf>
      <alignment horizontal="left" vertical="center" textRotation="0" wrapText="0" indent="0" justifyLastLine="0" shrinkToFit="0" readingOrder="0"/>
    </dxf>
    <dxf>
      <border>
        <top style="thin">
          <color rgb="FFFF9900"/>
        </top>
      </border>
    </dxf>
    <dxf>
      <border diagonalUp="0" diagonalDown="0">
        <left style="thin">
          <color rgb="FFFF9900"/>
        </left>
        <right style="thin">
          <color rgb="FFFF9900"/>
        </right>
        <top/>
        <bottom/>
        <vertical style="thin">
          <color rgb="FFFF9900"/>
        </vertical>
        <horizontal/>
      </border>
    </dxf>
    <dxf>
      <alignment horizontal="left"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F9900"/>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microsoft.com/office/2007/relationships/slicerCache" Target="slicerCaches/slicerCache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microsoft.com/office/2007/relationships/slicerCache" Target="slicerCaches/slicerCache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microsoft.com/office/2007/relationships/slicerCache" Target="slicerCaches/slicerCache5.xml"/><Relationship Id="rId28" Type="http://schemas.openxmlformats.org/officeDocument/2006/relationships/connections" Target="connections.xml"/><Relationship Id="rId10" Type="http://schemas.openxmlformats.org/officeDocument/2006/relationships/externalLink" Target="externalLinks/externalLink1.xml"/><Relationship Id="rId19" Type="http://schemas.microsoft.com/office/2007/relationships/slicerCache" Target="slicerCaches/slicerCache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microsoft.com/office/2007/relationships/slicerCache" Target="slicerCaches/slicerCache4.xml"/><Relationship Id="rId27" Type="http://schemas.openxmlformats.org/officeDocument/2006/relationships/theme" Target="theme/theme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G&#304;DER &#304;CMAL'!A1"/><Relationship Id="rId7" Type="http://schemas.openxmlformats.org/officeDocument/2006/relationships/hyperlink" Target="#'EKB H&#304;ZMET BEDEL&#304; 2026'!A1"/><Relationship Id="rId2" Type="http://schemas.openxmlformats.org/officeDocument/2006/relationships/hyperlink" Target="#'GEL&#304;R &#304;CMAL'!A1"/><Relationship Id="rId1" Type="http://schemas.openxmlformats.org/officeDocument/2006/relationships/hyperlink" Target="#'ANA SAYFA'!A1"/><Relationship Id="rId6" Type="http://schemas.openxmlformats.org/officeDocument/2006/relationships/hyperlink" Target="#'G&#304;DEN &#304;&#350;LER'!A1"/><Relationship Id="rId5" Type="http://schemas.openxmlformats.org/officeDocument/2006/relationships/hyperlink" Target="#'GELEN &#304;&#350;LER'!A1"/><Relationship Id="rId4" Type="http://schemas.openxmlformats.org/officeDocument/2006/relationships/hyperlink" Target="#FATURALAR!A1"/></Relationships>
</file>

<file path=xl/drawings/_rels/drawing2.xml.rels><?xml version="1.0" encoding="UTF-8" standalone="yes"?>
<Relationships xmlns="http://schemas.openxmlformats.org/package/2006/relationships"><Relationship Id="rId1" Type="http://schemas.openxmlformats.org/officeDocument/2006/relationships/hyperlink" Target="#'ANA SAYFA'!A1"/></Relationships>
</file>

<file path=xl/drawings/_rels/drawing3.xml.rels><?xml version="1.0" encoding="UTF-8" standalone="yes"?>
<Relationships xmlns="http://schemas.openxmlformats.org/package/2006/relationships"><Relationship Id="rId1" Type="http://schemas.openxmlformats.org/officeDocument/2006/relationships/hyperlink" Target="#'ANA SAYFA'!A1"/></Relationships>
</file>

<file path=xl/drawings/_rels/drawing4.xml.rels><?xml version="1.0" encoding="UTF-8" standalone="yes"?>
<Relationships xmlns="http://schemas.openxmlformats.org/package/2006/relationships"><Relationship Id="rId1" Type="http://schemas.openxmlformats.org/officeDocument/2006/relationships/hyperlink" Target="#'ANA SAYFA'!A1"/></Relationships>
</file>

<file path=xl/drawings/_rels/drawing5.xml.rels><?xml version="1.0" encoding="UTF-8" standalone="yes"?>
<Relationships xmlns="http://schemas.openxmlformats.org/package/2006/relationships"><Relationship Id="rId1" Type="http://schemas.openxmlformats.org/officeDocument/2006/relationships/hyperlink" Target="#'ANA SAYFA'!A1"/></Relationships>
</file>

<file path=xl/drawings/_rels/drawing6.xml.rels><?xml version="1.0" encoding="UTF-8" standalone="yes"?>
<Relationships xmlns="http://schemas.openxmlformats.org/package/2006/relationships"><Relationship Id="rId1" Type="http://schemas.openxmlformats.org/officeDocument/2006/relationships/hyperlink" Target="#'ANA SAYFA'!A1"/></Relationships>
</file>

<file path=xl/drawings/_rels/drawing7.xml.rels><?xml version="1.0" encoding="UTF-8" standalone="yes"?>
<Relationships xmlns="http://schemas.openxmlformats.org/package/2006/relationships"><Relationship Id="rId1" Type="http://schemas.openxmlformats.org/officeDocument/2006/relationships/hyperlink" Target="#'ANA SAYFA'!A1"/></Relationships>
</file>

<file path=xl/drawings/drawing1.xml><?xml version="1.0" encoding="utf-8"?>
<xdr:wsDr xmlns:xdr="http://schemas.openxmlformats.org/drawingml/2006/spreadsheetDrawing" xmlns:a="http://schemas.openxmlformats.org/drawingml/2006/main">
  <xdr:twoCellAnchor>
    <xdr:from>
      <xdr:col>0</xdr:col>
      <xdr:colOff>304798</xdr:colOff>
      <xdr:row>1</xdr:row>
      <xdr:rowOff>142876</xdr:rowOff>
    </xdr:from>
    <xdr:to>
      <xdr:col>11</xdr:col>
      <xdr:colOff>142875</xdr:colOff>
      <xdr:row>11</xdr:row>
      <xdr:rowOff>76200</xdr:rowOff>
    </xdr:to>
    <xdr:grpSp>
      <xdr:nvGrpSpPr>
        <xdr:cNvPr id="24" name="Grup 23">
          <a:extLst>
            <a:ext uri="{FF2B5EF4-FFF2-40B4-BE49-F238E27FC236}">
              <a16:creationId xmlns:a16="http://schemas.microsoft.com/office/drawing/2014/main" id="{E284384A-8B68-4FB8-ACD9-5479CA70A0B0}"/>
            </a:ext>
          </a:extLst>
        </xdr:cNvPr>
        <xdr:cNvGrpSpPr/>
      </xdr:nvGrpSpPr>
      <xdr:grpSpPr>
        <a:xfrm>
          <a:off x="304798" y="333376"/>
          <a:ext cx="6543677" cy="1838324"/>
          <a:chOff x="8810312" y="1074420"/>
          <a:chExt cx="3151494" cy="807720"/>
        </a:xfrm>
      </xdr:grpSpPr>
      <xdr:sp macro="" textlink="">
        <xdr:nvSpPr>
          <xdr:cNvPr id="25" name="Sağ Ok 12">
            <a:extLst>
              <a:ext uri="{FF2B5EF4-FFF2-40B4-BE49-F238E27FC236}">
                <a16:creationId xmlns:a16="http://schemas.microsoft.com/office/drawing/2014/main" id="{7C3A0B42-5A8F-EFF2-E060-E61DFF1BF656}"/>
              </a:ext>
            </a:extLst>
          </xdr:cNvPr>
          <xdr:cNvSpPr/>
        </xdr:nvSpPr>
        <xdr:spPr>
          <a:xfrm>
            <a:off x="9198451" y="1340373"/>
            <a:ext cx="635865" cy="275812"/>
          </a:xfrm>
          <a:prstGeom prst="rightArrow">
            <a:avLst>
              <a:gd name="adj1" fmla="val 70000"/>
              <a:gd name="adj2" fmla="val 50000"/>
            </a:avLst>
          </a:prstGeom>
          <a:solidFill>
            <a:srgbClr val="9BBB59">
              <a:tint val="40000"/>
              <a:alpha val="90000"/>
              <a:hueOff val="0"/>
              <a:satOff val="0"/>
              <a:lumOff val="0"/>
              <a:alphaOff val="0"/>
            </a:srgbClr>
          </a:solidFill>
          <a:ln>
            <a:noFill/>
          </a:ln>
          <a:effectLst/>
          <a:scene3d>
            <a:camera prst="orthographicFront">
              <a:rot lat="0" lon="0" rev="0"/>
            </a:camera>
            <a:lightRig rig="contrasting" dir="t">
              <a:rot lat="0" lon="0" rev="1200000"/>
            </a:lightRig>
          </a:scene3d>
          <a:sp3d z="-300000" contourW="19050" prstMaterial="metal">
            <a:bevelT w="88900" h="203200"/>
            <a:bevelB w="165100" h="254000"/>
          </a:sp3d>
        </xdr:spPr>
      </xdr:sp>
      <xdr:sp macro="" textlink="">
        <xdr:nvSpPr>
          <xdr:cNvPr id="26" name="Serbest Form 13">
            <a:hlinkClick xmlns:r="http://schemas.openxmlformats.org/officeDocument/2006/relationships" r:id="rId1"/>
            <a:extLst>
              <a:ext uri="{FF2B5EF4-FFF2-40B4-BE49-F238E27FC236}">
                <a16:creationId xmlns:a16="http://schemas.microsoft.com/office/drawing/2014/main" id="{31F1D06F-5A3C-9A80-8CAA-0E0B1F4B6AEC}"/>
              </a:ext>
            </a:extLst>
          </xdr:cNvPr>
          <xdr:cNvSpPr/>
        </xdr:nvSpPr>
        <xdr:spPr>
          <a:xfrm>
            <a:off x="8810312" y="1074420"/>
            <a:ext cx="776276" cy="807720"/>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solidFill>
            <a:srgbClr val="9BBB59">
              <a:hueOff val="0"/>
              <a:satOff val="0"/>
              <a:lumOff val="0"/>
              <a:alphaOff val="0"/>
            </a:srgbClr>
          </a:solidFill>
          <a:ln>
            <a:noFill/>
          </a:ln>
          <a:effectLst>
            <a:outerShdw blurRad="40000" dist="23000" dir="5400000" rotWithShape="0">
              <a:srgbClr val="000000">
                <a:alpha val="35000"/>
              </a:srgbClr>
            </a:outerShdw>
          </a:effectLst>
          <a:scene3d>
            <a:camera prst="orthographicFront">
              <a:rot lat="0" lon="0" rev="0"/>
            </a:camera>
            <a:lightRig rig="contrasting" dir="t">
              <a:rot lat="0" lon="0" rev="1200000"/>
            </a:lightRig>
          </a:scene3d>
          <a:sp3d contourW="19050" prstMaterial="metal">
            <a:bevelT w="88900" h="203200"/>
            <a:bevelB w="165100" h="254000"/>
          </a:sp3d>
        </xdr:spPr>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ANA SAYFA</a:t>
            </a:r>
          </a:p>
        </xdr:txBody>
      </xdr:sp>
      <xdr:sp macro="" textlink="">
        <xdr:nvSpPr>
          <xdr:cNvPr id="27" name="Sağ Ok 14">
            <a:extLst>
              <a:ext uri="{FF2B5EF4-FFF2-40B4-BE49-F238E27FC236}">
                <a16:creationId xmlns:a16="http://schemas.microsoft.com/office/drawing/2014/main" id="{C25C4B12-CAA3-FE94-7057-B03DEDD991E2}"/>
              </a:ext>
            </a:extLst>
          </xdr:cNvPr>
          <xdr:cNvSpPr/>
        </xdr:nvSpPr>
        <xdr:spPr>
          <a:xfrm>
            <a:off x="10262196" y="1340373"/>
            <a:ext cx="635865" cy="275812"/>
          </a:xfrm>
          <a:prstGeom prst="rightArrow">
            <a:avLst>
              <a:gd name="adj1" fmla="val 70000"/>
              <a:gd name="adj2" fmla="val 50000"/>
            </a:avLst>
          </a:prstGeom>
          <a:solidFill>
            <a:srgbClr val="9BBB59">
              <a:tint val="40000"/>
              <a:alpha val="90000"/>
              <a:hueOff val="5358427"/>
              <a:satOff val="-6896"/>
              <a:lumOff val="-537"/>
              <a:alphaOff val="0"/>
            </a:srgbClr>
          </a:solidFill>
          <a:ln>
            <a:noFill/>
          </a:ln>
          <a:effectLst/>
          <a:scene3d>
            <a:camera prst="orthographicFront">
              <a:rot lat="0" lon="0" rev="0"/>
            </a:camera>
            <a:lightRig rig="contrasting" dir="t">
              <a:rot lat="0" lon="0" rev="1200000"/>
            </a:lightRig>
          </a:scene3d>
          <a:sp3d z="-300000" contourW="19050" prstMaterial="metal">
            <a:bevelT w="88900" h="203200"/>
            <a:bevelB w="165100" h="254000"/>
          </a:sp3d>
        </xdr:spPr>
      </xdr:sp>
      <xdr:sp macro="" textlink="">
        <xdr:nvSpPr>
          <xdr:cNvPr id="28" name="Serbest Form 15">
            <a:hlinkClick xmlns:r="http://schemas.openxmlformats.org/officeDocument/2006/relationships" r:id="rId2"/>
            <a:extLst>
              <a:ext uri="{FF2B5EF4-FFF2-40B4-BE49-F238E27FC236}">
                <a16:creationId xmlns:a16="http://schemas.microsoft.com/office/drawing/2014/main" id="{1B4B4CDC-354E-AA28-0875-9D0196E048C8}"/>
              </a:ext>
            </a:extLst>
          </xdr:cNvPr>
          <xdr:cNvSpPr/>
        </xdr:nvSpPr>
        <xdr:spPr>
          <a:xfrm>
            <a:off x="9874058" y="1074420"/>
            <a:ext cx="776276" cy="807720"/>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solidFill>
            <a:srgbClr val="9BBB59">
              <a:hueOff val="5625132"/>
              <a:satOff val="-8440"/>
              <a:lumOff val="-1373"/>
              <a:alphaOff val="0"/>
            </a:srgbClr>
          </a:solidFill>
          <a:ln>
            <a:noFill/>
          </a:ln>
          <a:effectLst>
            <a:outerShdw blurRad="40000" dist="23000" dir="5400000" rotWithShape="0">
              <a:srgbClr val="000000">
                <a:alpha val="35000"/>
              </a:srgbClr>
            </a:outerShdw>
          </a:effectLst>
          <a:scene3d>
            <a:camera prst="orthographicFront">
              <a:rot lat="0" lon="0" rev="0"/>
            </a:camera>
            <a:lightRig rig="contrasting" dir="t">
              <a:rot lat="0" lon="0" rev="1200000"/>
            </a:lightRig>
          </a:scene3d>
          <a:sp3d contourW="19050" prstMaterial="metal">
            <a:bevelT w="88900" h="203200"/>
            <a:bevelB w="165100" h="254000"/>
          </a:sp3d>
        </xdr:spPr>
        <xdr:txBody>
          <a:bodyPr spcFirstLastPara="0" vert="horz" wrap="square" lIns="122573" tIns="127178" rIns="122573" bIns="127178" numCol="1" spcCol="1270" anchor="ctr" anchorCtr="0">
            <a:noAutofit/>
          </a:bodyPr>
          <a:lstStyle/>
          <a:p>
            <a:pPr marL="0" marR="0" lvl="0" indent="0" algn="ctr" defTabSz="622300" eaLnBrk="1" fontAlgn="auto" latinLnBrk="0" hangingPunct="1">
              <a:lnSpc>
                <a:spcPct val="90000"/>
              </a:lnSpc>
              <a:spcBef>
                <a:spcPct val="0"/>
              </a:spcBef>
              <a:spcAft>
                <a:spcPct val="35000"/>
              </a:spcAft>
              <a:buClrTx/>
              <a:buSzTx/>
              <a:buFontTx/>
              <a:buNone/>
              <a:tabLst/>
              <a:defRPr/>
            </a:pPr>
            <a:r>
              <a:rPr kumimoji="0" lang="tr-TR" sz="1400" b="0" i="0" u="none" strike="noStrike" kern="1200" cap="none" spc="0" normalizeH="0" baseline="0" noProof="0">
                <a:ln>
                  <a:noFill/>
                </a:ln>
                <a:solidFill>
                  <a:sysClr val="window" lastClr="FFFFFF"/>
                </a:solidFill>
                <a:effectLst/>
                <a:uLnTx/>
                <a:uFillTx/>
                <a:latin typeface="Calibri"/>
                <a:ea typeface="+mn-ea"/>
                <a:cs typeface="+mn-cs"/>
              </a:rPr>
              <a:t>GELİR İCMAL</a:t>
            </a:r>
          </a:p>
        </xdr:txBody>
      </xdr:sp>
      <xdr:sp macro="" textlink="">
        <xdr:nvSpPr>
          <xdr:cNvPr id="29" name="Sağ Ok 16">
            <a:extLst>
              <a:ext uri="{FF2B5EF4-FFF2-40B4-BE49-F238E27FC236}">
                <a16:creationId xmlns:a16="http://schemas.microsoft.com/office/drawing/2014/main" id="{119CDA9A-4576-1697-0B3B-BFBFE02D1E10}"/>
              </a:ext>
            </a:extLst>
          </xdr:cNvPr>
          <xdr:cNvSpPr/>
        </xdr:nvSpPr>
        <xdr:spPr>
          <a:xfrm>
            <a:off x="11325941" y="1340373"/>
            <a:ext cx="635865" cy="275812"/>
          </a:xfrm>
          <a:prstGeom prst="rightArrow">
            <a:avLst>
              <a:gd name="adj1" fmla="val 70000"/>
              <a:gd name="adj2" fmla="val 50000"/>
            </a:avLst>
          </a:prstGeom>
          <a:solidFill>
            <a:srgbClr val="9BBB59">
              <a:tint val="40000"/>
              <a:alpha val="90000"/>
              <a:hueOff val="10716854"/>
              <a:satOff val="-13793"/>
              <a:lumOff val="-1075"/>
              <a:alphaOff val="0"/>
            </a:srgbClr>
          </a:solidFill>
          <a:ln>
            <a:noFill/>
          </a:ln>
          <a:effectLst/>
          <a:scene3d>
            <a:camera prst="orthographicFront">
              <a:rot lat="0" lon="0" rev="0"/>
            </a:camera>
            <a:lightRig rig="contrasting" dir="t">
              <a:rot lat="0" lon="0" rev="1200000"/>
            </a:lightRig>
          </a:scene3d>
          <a:sp3d z="-300000" contourW="19050" prstMaterial="metal">
            <a:bevelT w="88900" h="203200"/>
            <a:bevelB w="165100" h="254000"/>
          </a:sp3d>
        </xdr:spPr>
      </xdr:sp>
      <xdr:sp macro="" textlink="">
        <xdr:nvSpPr>
          <xdr:cNvPr id="30" name="Serbest Form 17">
            <a:hlinkClick xmlns:r="http://schemas.openxmlformats.org/officeDocument/2006/relationships" r:id="rId3"/>
            <a:extLst>
              <a:ext uri="{FF2B5EF4-FFF2-40B4-BE49-F238E27FC236}">
                <a16:creationId xmlns:a16="http://schemas.microsoft.com/office/drawing/2014/main" id="{6C2E4D53-B6BE-4681-915B-16E537C5CB36}"/>
              </a:ext>
            </a:extLst>
          </xdr:cNvPr>
          <xdr:cNvSpPr/>
        </xdr:nvSpPr>
        <xdr:spPr>
          <a:xfrm>
            <a:off x="10937803" y="1074420"/>
            <a:ext cx="776276" cy="807720"/>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solidFill>
            <a:srgbClr val="9BBB59">
              <a:hueOff val="11250264"/>
              <a:satOff val="-16880"/>
              <a:lumOff val="-2745"/>
              <a:alphaOff val="0"/>
            </a:srgbClr>
          </a:solidFill>
          <a:ln>
            <a:noFill/>
          </a:ln>
          <a:effectLst>
            <a:outerShdw blurRad="40000" dist="23000" dir="5400000" rotWithShape="0">
              <a:srgbClr val="000000">
                <a:alpha val="35000"/>
              </a:srgbClr>
            </a:outerShdw>
          </a:effectLst>
          <a:scene3d>
            <a:camera prst="orthographicFront">
              <a:rot lat="0" lon="0" rev="0"/>
            </a:camera>
            <a:lightRig rig="contrasting" dir="t">
              <a:rot lat="0" lon="0" rev="1200000"/>
            </a:lightRig>
          </a:scene3d>
          <a:sp3d contourW="19050" prstMaterial="metal">
            <a:bevelT w="88900" h="203200"/>
            <a:bevelB w="165100" h="254000"/>
          </a:sp3d>
        </xdr:spPr>
        <xdr:txBody>
          <a:bodyPr spcFirstLastPara="0" vert="horz" wrap="square" lIns="121938" tIns="126543" rIns="121938" bIns="126543" numCol="1" spcCol="1270" anchor="ctr" anchorCtr="0">
            <a:noAutofit/>
          </a:bodyPr>
          <a:lstStyle/>
          <a:p>
            <a:pPr marL="0" marR="0" lvl="0" indent="0" algn="ctr" defTabSz="577850" eaLnBrk="1" fontAlgn="auto" latinLnBrk="0" hangingPunct="1">
              <a:lnSpc>
                <a:spcPct val="90000"/>
              </a:lnSpc>
              <a:spcBef>
                <a:spcPct val="0"/>
              </a:spcBef>
              <a:spcAft>
                <a:spcPct val="35000"/>
              </a:spcAft>
              <a:buClrTx/>
              <a:buSzTx/>
              <a:buFontTx/>
              <a:buNone/>
              <a:tabLst/>
              <a:defRPr/>
            </a:pPr>
            <a:r>
              <a:rPr kumimoji="0" lang="tr-TR" sz="1300" b="0" i="0" u="none" strike="noStrike" kern="1200" cap="none" spc="0" normalizeH="0" baseline="0" noProof="0">
                <a:ln>
                  <a:noFill/>
                </a:ln>
                <a:solidFill>
                  <a:sysClr val="window" lastClr="FFFFFF"/>
                </a:solidFill>
                <a:effectLst/>
                <a:uLnTx/>
                <a:uFillTx/>
                <a:latin typeface="Calibri"/>
                <a:ea typeface="+mn-ea"/>
                <a:cs typeface="+mn-cs"/>
              </a:rPr>
              <a:t>GİDER İCMAL</a:t>
            </a:r>
          </a:p>
        </xdr:txBody>
      </xdr:sp>
    </xdr:grpSp>
    <xdr:clientData/>
  </xdr:twoCellAnchor>
  <xdr:twoCellAnchor>
    <xdr:from>
      <xdr:col>11</xdr:col>
      <xdr:colOff>238126</xdr:colOff>
      <xdr:row>1</xdr:row>
      <xdr:rowOff>142875</xdr:rowOff>
    </xdr:from>
    <xdr:to>
      <xdr:col>14</xdr:col>
      <xdr:colOff>133350</xdr:colOff>
      <xdr:row>11</xdr:row>
      <xdr:rowOff>47625</xdr:rowOff>
    </xdr:to>
    <xdr:sp macro="" textlink="">
      <xdr:nvSpPr>
        <xdr:cNvPr id="57" name="Serbest Form 13">
          <a:hlinkClick xmlns:r="http://schemas.openxmlformats.org/officeDocument/2006/relationships" r:id="rId4"/>
          <a:extLst>
            <a:ext uri="{FF2B5EF4-FFF2-40B4-BE49-F238E27FC236}">
              <a16:creationId xmlns:a16="http://schemas.microsoft.com/office/drawing/2014/main" id="{63C55CFA-56BA-A849-17DB-C8A54ECFAE28}"/>
            </a:ext>
          </a:extLst>
        </xdr:cNvPr>
        <xdr:cNvSpPr/>
      </xdr:nvSpPr>
      <xdr:spPr>
        <a:xfrm>
          <a:off x="6943726" y="333375"/>
          <a:ext cx="1724024" cy="1809750"/>
        </a:xfrm>
        <a:prstGeom prst="ellipse">
          <a:avLst/>
        </a:prstGeom>
        <a:solidFill>
          <a:schemeClr val="accent5"/>
        </a:solidFill>
        <a:ln>
          <a:noFill/>
        </a:ln>
        <a:effectLst>
          <a:outerShdw blurRad="40000" dist="23000" dir="5400000" rotWithShape="0">
            <a:srgbClr val="000000">
              <a:alpha val="35000"/>
            </a:srgbClr>
          </a:outerShdw>
        </a:effectLst>
        <a:scene3d>
          <a:camera prst="orthographicFront">
            <a:rot lat="0" lon="0" rev="0"/>
          </a:camera>
          <a:lightRig rig="contrasting" dir="t">
            <a:rot lat="0" lon="0" rev="1200000"/>
          </a:lightRig>
        </a:scene3d>
        <a:sp3d contourW="19050" prstMaterial="metal">
          <a:bevelT w="88900" h="203200"/>
          <a:bevelB w="165100" h="254000"/>
        </a:sp3d>
      </xdr:spPr>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FATURALAR</a:t>
          </a:r>
        </a:p>
      </xdr:txBody>
    </xdr:sp>
    <xdr:clientData/>
  </xdr:twoCellAnchor>
  <xdr:twoCellAnchor>
    <xdr:from>
      <xdr:col>0</xdr:col>
      <xdr:colOff>342900</xdr:colOff>
      <xdr:row>13</xdr:row>
      <xdr:rowOff>133350</xdr:rowOff>
    </xdr:from>
    <xdr:to>
      <xdr:col>4</xdr:col>
      <xdr:colOff>114300</xdr:colOff>
      <xdr:row>23</xdr:row>
      <xdr:rowOff>76200</xdr:rowOff>
    </xdr:to>
    <xdr:sp macro="" textlink="">
      <xdr:nvSpPr>
        <xdr:cNvPr id="69" name="Serbest Form 13">
          <a:hlinkClick xmlns:r="http://schemas.openxmlformats.org/officeDocument/2006/relationships" r:id="rId5"/>
          <a:extLst>
            <a:ext uri="{FF2B5EF4-FFF2-40B4-BE49-F238E27FC236}">
              <a16:creationId xmlns:a16="http://schemas.microsoft.com/office/drawing/2014/main" id="{C250B88C-128A-4F5D-AA88-0F09CDFB293D}"/>
            </a:ext>
          </a:extLst>
        </xdr:cNvPr>
        <xdr:cNvSpPr/>
      </xdr:nvSpPr>
      <xdr:spPr>
        <a:xfrm>
          <a:off x="342900" y="2609850"/>
          <a:ext cx="2209800" cy="1847850"/>
        </a:xfrm>
        <a:prstGeom prst="roundRect">
          <a:avLst/>
        </a:prstGeom>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contrasting" dir="t">
            <a:rot lat="0" lon="0" rev="1200000"/>
          </a:lightRig>
        </a:scene3d>
        <a:sp3d contourW="19050" prstMaterial="metal">
          <a:bevelT w="88900" h="203200"/>
          <a:bevelB w="165100" h="254000"/>
        </a:sp3d>
      </xdr:spPr>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2000" b="0" i="0" u="none" strike="noStrike" kern="1200" cap="none" spc="0" normalizeH="0" baseline="0" noProof="0">
              <a:ln>
                <a:noFill/>
              </a:ln>
              <a:solidFill>
                <a:sysClr val="window" lastClr="FFFFFF"/>
              </a:solidFill>
              <a:effectLst/>
              <a:uLnTx/>
              <a:uFillTx/>
              <a:latin typeface="Calibri"/>
              <a:ea typeface="+mn-ea"/>
              <a:cs typeface="+mn-cs"/>
            </a:rPr>
            <a:t>GELEN İŞ KAYDET</a:t>
          </a:r>
        </a:p>
      </xdr:txBody>
    </xdr:sp>
    <xdr:clientData/>
  </xdr:twoCellAnchor>
  <xdr:twoCellAnchor>
    <xdr:from>
      <xdr:col>4</xdr:col>
      <xdr:colOff>495300</xdr:colOff>
      <xdr:row>13</xdr:row>
      <xdr:rowOff>171450</xdr:rowOff>
    </xdr:from>
    <xdr:to>
      <xdr:col>8</xdr:col>
      <xdr:colOff>266700</xdr:colOff>
      <xdr:row>23</xdr:row>
      <xdr:rowOff>114300</xdr:rowOff>
    </xdr:to>
    <xdr:sp macro="" textlink="">
      <xdr:nvSpPr>
        <xdr:cNvPr id="70" name="Serbest Form 13">
          <a:hlinkClick xmlns:r="http://schemas.openxmlformats.org/officeDocument/2006/relationships" r:id="rId6"/>
          <a:extLst>
            <a:ext uri="{FF2B5EF4-FFF2-40B4-BE49-F238E27FC236}">
              <a16:creationId xmlns:a16="http://schemas.microsoft.com/office/drawing/2014/main" id="{79240FC5-F756-4913-AC52-D888CFC1C76C}"/>
            </a:ext>
          </a:extLst>
        </xdr:cNvPr>
        <xdr:cNvSpPr/>
      </xdr:nvSpPr>
      <xdr:spPr>
        <a:xfrm>
          <a:off x="2933700" y="2647950"/>
          <a:ext cx="2209800" cy="1847850"/>
        </a:xfrm>
        <a:prstGeom prst="roundRect">
          <a:avLst/>
        </a:prstGeom>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contrasting" dir="t">
            <a:rot lat="0" lon="0" rev="1200000"/>
          </a:lightRig>
        </a:scene3d>
        <a:sp3d contourW="19050" prstMaterial="metal">
          <a:bevelT w="88900" h="203200"/>
          <a:bevelB w="165100" h="254000"/>
        </a:sp3d>
      </xdr:spPr>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2000" b="0" i="0" u="none" strike="noStrike" kern="1200" cap="none" spc="0" normalizeH="0" baseline="0" noProof="0">
              <a:ln>
                <a:noFill/>
              </a:ln>
              <a:solidFill>
                <a:sysClr val="window" lastClr="FFFFFF"/>
              </a:solidFill>
              <a:effectLst/>
              <a:uLnTx/>
              <a:uFillTx/>
              <a:latin typeface="Calibri"/>
              <a:ea typeface="+mn-ea"/>
              <a:cs typeface="+mn-cs"/>
            </a:rPr>
            <a:t>GİDEN İŞ KAYDET</a:t>
          </a:r>
        </a:p>
      </xdr:txBody>
    </xdr:sp>
    <xdr:clientData/>
  </xdr:twoCellAnchor>
  <xdr:twoCellAnchor>
    <xdr:from>
      <xdr:col>9</xdr:col>
      <xdr:colOff>123825</xdr:colOff>
      <xdr:row>13</xdr:row>
      <xdr:rowOff>152400</xdr:rowOff>
    </xdr:from>
    <xdr:to>
      <xdr:col>13</xdr:col>
      <xdr:colOff>171451</xdr:colOff>
      <xdr:row>23</xdr:row>
      <xdr:rowOff>152400</xdr:rowOff>
    </xdr:to>
    <xdr:sp macro="" textlink="">
      <xdr:nvSpPr>
        <xdr:cNvPr id="71" name="Serbest Form 13">
          <a:hlinkClick xmlns:r="http://schemas.openxmlformats.org/officeDocument/2006/relationships" r:id="rId7"/>
          <a:extLst>
            <a:ext uri="{FF2B5EF4-FFF2-40B4-BE49-F238E27FC236}">
              <a16:creationId xmlns:a16="http://schemas.microsoft.com/office/drawing/2014/main" id="{4C767490-51E6-4511-A31D-B5475BE67754}"/>
            </a:ext>
          </a:extLst>
        </xdr:cNvPr>
        <xdr:cNvSpPr/>
      </xdr:nvSpPr>
      <xdr:spPr>
        <a:xfrm>
          <a:off x="5610225" y="2628900"/>
          <a:ext cx="2486026" cy="1905000"/>
        </a:xfrm>
        <a:prstGeom prst="roundRect">
          <a:avLst/>
        </a:prstGeom>
        <a:solidFill>
          <a:srgbClr val="00B0F0"/>
        </a:solidFill>
        <a:ln>
          <a:noFill/>
        </a:ln>
        <a:effectLst>
          <a:outerShdw blurRad="40000" dist="23000" dir="5400000" rotWithShape="0">
            <a:srgbClr val="000000">
              <a:alpha val="35000"/>
            </a:srgbClr>
          </a:outerShdw>
        </a:effectLst>
        <a:scene3d>
          <a:camera prst="orthographicFront">
            <a:rot lat="0" lon="0" rev="0"/>
          </a:camera>
          <a:lightRig rig="contrasting" dir="t">
            <a:rot lat="0" lon="0" rev="1200000"/>
          </a:lightRig>
        </a:scene3d>
        <a:sp3d contourW="19050" prstMaterial="metal">
          <a:bevelT w="88900" h="203200"/>
          <a:bevelB w="165100" h="254000"/>
        </a:sp3d>
      </xdr:spPr>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2000" b="0" i="0" u="none" strike="noStrike" kern="1200" cap="none" spc="0" normalizeH="0" baseline="0" noProof="0">
              <a:ln>
                <a:noFill/>
              </a:ln>
              <a:solidFill>
                <a:sysClr val="window" lastClr="FFFFFF"/>
              </a:solidFill>
              <a:effectLst/>
              <a:uLnTx/>
              <a:uFillTx/>
              <a:latin typeface="Calibri"/>
              <a:ea typeface="+mn-ea"/>
              <a:cs typeface="+mn-cs"/>
            </a:rPr>
            <a:t>EKB HİZMET BEDELİ HESAPLAMA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424962</xdr:colOff>
      <xdr:row>0</xdr:row>
      <xdr:rowOff>58615</xdr:rowOff>
    </xdr:from>
    <xdr:to>
      <xdr:col>3</xdr:col>
      <xdr:colOff>1238251</xdr:colOff>
      <xdr:row>3</xdr:row>
      <xdr:rowOff>140676</xdr:rowOff>
    </xdr:to>
    <xdr:sp macro="" textlink="">
      <xdr:nvSpPr>
        <xdr:cNvPr id="6" name="Serbest Form 13">
          <a:hlinkClick xmlns:r="http://schemas.openxmlformats.org/officeDocument/2006/relationships" r:id="rId1"/>
          <a:extLst>
            <a:ext uri="{FF2B5EF4-FFF2-40B4-BE49-F238E27FC236}">
              <a16:creationId xmlns:a16="http://schemas.microsoft.com/office/drawing/2014/main" id="{A0E31A34-E4C1-49A5-936C-50C96CA6B814}"/>
            </a:ext>
          </a:extLst>
        </xdr:cNvPr>
        <xdr:cNvSpPr/>
      </xdr:nvSpPr>
      <xdr:spPr>
        <a:xfrm>
          <a:off x="2586404" y="58615"/>
          <a:ext cx="813289" cy="814753"/>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noFill/>
        </a:ln>
        <a:effectLst/>
      </xdr:spPr>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ANA SAYFA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306917</xdr:colOff>
      <xdr:row>0</xdr:row>
      <xdr:rowOff>10583</xdr:rowOff>
    </xdr:from>
    <xdr:to>
      <xdr:col>28</xdr:col>
      <xdr:colOff>1468963</xdr:colOff>
      <xdr:row>2</xdr:row>
      <xdr:rowOff>133349</xdr:rowOff>
    </xdr:to>
    <xdr:sp macro="" textlink="">
      <xdr:nvSpPr>
        <xdr:cNvPr id="2" name="Serbest Form 13">
          <a:hlinkClick xmlns:r="http://schemas.openxmlformats.org/officeDocument/2006/relationships" r:id="rId1"/>
          <a:extLst>
            <a:ext uri="{FF2B5EF4-FFF2-40B4-BE49-F238E27FC236}">
              <a16:creationId xmlns:a16="http://schemas.microsoft.com/office/drawing/2014/main" id="{ECE47424-8629-4810-AC8D-E4115E8FE666}"/>
            </a:ext>
          </a:extLst>
        </xdr:cNvPr>
        <xdr:cNvSpPr/>
      </xdr:nvSpPr>
      <xdr:spPr>
        <a:xfrm>
          <a:off x="13895917" y="10583"/>
          <a:ext cx="1162046" cy="1085849"/>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ANA SAYFA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28</xdr:col>
      <xdr:colOff>275166</xdr:colOff>
      <xdr:row>0</xdr:row>
      <xdr:rowOff>42334</xdr:rowOff>
    </xdr:from>
    <xdr:to>
      <xdr:col>28</xdr:col>
      <xdr:colOff>1437212</xdr:colOff>
      <xdr:row>2</xdr:row>
      <xdr:rowOff>165100</xdr:rowOff>
    </xdr:to>
    <xdr:sp macro="" textlink="">
      <xdr:nvSpPr>
        <xdr:cNvPr id="2" name="Serbest Form 13">
          <a:hlinkClick xmlns:r="http://schemas.openxmlformats.org/officeDocument/2006/relationships" r:id="rId1"/>
          <a:extLst>
            <a:ext uri="{FF2B5EF4-FFF2-40B4-BE49-F238E27FC236}">
              <a16:creationId xmlns:a16="http://schemas.microsoft.com/office/drawing/2014/main" id="{29D8A85A-A223-4C69-AECB-90F780EBC070}"/>
            </a:ext>
          </a:extLst>
        </xdr:cNvPr>
        <xdr:cNvSpPr/>
      </xdr:nvSpPr>
      <xdr:spPr>
        <a:xfrm>
          <a:off x="13864166" y="42334"/>
          <a:ext cx="1162046" cy="1085849"/>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ANA SAYFA</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0</xdr:colOff>
      <xdr:row>0</xdr:row>
      <xdr:rowOff>0</xdr:rowOff>
    </xdr:from>
    <xdr:to>
      <xdr:col>5</xdr:col>
      <xdr:colOff>0</xdr:colOff>
      <xdr:row>7</xdr:row>
      <xdr:rowOff>0</xdr:rowOff>
    </xdr:to>
    <mc:AlternateContent xmlns:mc="http://schemas.openxmlformats.org/markup-compatibility/2006" xmlns:sle15="http://schemas.microsoft.com/office/drawing/2012/slicer">
      <mc:Choice Requires="sle15">
        <xdr:graphicFrame macro="">
          <xdr:nvGraphicFramePr>
            <xdr:cNvPr id="2" name="MÜŞTERİ ADI 8">
              <a:extLst>
                <a:ext uri="{FF2B5EF4-FFF2-40B4-BE49-F238E27FC236}">
                  <a16:creationId xmlns:a16="http://schemas.microsoft.com/office/drawing/2014/main" id="{3290A0AA-6061-46CB-A022-B28D5EC61BBD}"/>
                </a:ext>
              </a:extLst>
            </xdr:cNvPr>
            <xdr:cNvGraphicFramePr/>
          </xdr:nvGraphicFramePr>
          <xdr:xfrm>
            <a:off x="0" y="0"/>
            <a:ext cx="0" cy="0"/>
          </xdr:xfrm>
          <a:graphic>
            <a:graphicData uri="http://schemas.microsoft.com/office/drawing/2010/slicer">
              <sle:slicer xmlns:sle="http://schemas.microsoft.com/office/drawing/2010/slicer" name="MÜŞTERİ ADI 8"/>
            </a:graphicData>
          </a:graphic>
        </xdr:graphicFrame>
      </mc:Choice>
      <mc:Fallback xmlns="">
        <xdr:sp macro="" textlink="">
          <xdr:nvSpPr>
            <xdr:cNvPr id="0" name=""/>
            <xdr:cNvSpPr>
              <a:spLocks noTextEdit="1"/>
            </xdr:cNvSpPr>
          </xdr:nvSpPr>
          <xdr:spPr>
            <a:xfrm>
              <a:off x="3750469" y="0"/>
              <a:ext cx="4750594"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0</xdr:col>
      <xdr:colOff>1</xdr:colOff>
      <xdr:row>0</xdr:row>
      <xdr:rowOff>1</xdr:rowOff>
    </xdr:from>
    <xdr:to>
      <xdr:col>2</xdr:col>
      <xdr:colOff>1</xdr:colOff>
      <xdr:row>7</xdr:row>
      <xdr:rowOff>1</xdr:rowOff>
    </xdr:to>
    <mc:AlternateContent xmlns:mc="http://schemas.openxmlformats.org/markup-compatibility/2006" xmlns:sle15="http://schemas.microsoft.com/office/drawing/2012/slicer">
      <mc:Choice Requires="sle15">
        <xdr:graphicFrame macro="">
          <xdr:nvGraphicFramePr>
            <xdr:cNvPr id="3" name="İŞİN DURUMU 9">
              <a:extLst>
                <a:ext uri="{FF2B5EF4-FFF2-40B4-BE49-F238E27FC236}">
                  <a16:creationId xmlns:a16="http://schemas.microsoft.com/office/drawing/2014/main" id="{993FA9D8-F42D-4090-9AAD-4BF8855FAA9C}"/>
                </a:ext>
              </a:extLst>
            </xdr:cNvPr>
            <xdr:cNvGraphicFramePr/>
          </xdr:nvGraphicFramePr>
          <xdr:xfrm>
            <a:off x="0" y="0"/>
            <a:ext cx="0" cy="0"/>
          </xdr:xfrm>
          <a:graphic>
            <a:graphicData uri="http://schemas.microsoft.com/office/drawing/2010/slicer">
              <sle:slicer xmlns:sle="http://schemas.microsoft.com/office/drawing/2010/slicer" name="İŞİN DURUMU 9"/>
            </a:graphicData>
          </a:graphic>
        </xdr:graphicFrame>
      </mc:Choice>
      <mc:Fallback xmlns="">
        <xdr:sp macro="" textlink="">
          <xdr:nvSpPr>
            <xdr:cNvPr id="0" name=""/>
            <xdr:cNvSpPr>
              <a:spLocks noTextEdit="1"/>
            </xdr:cNvSpPr>
          </xdr:nvSpPr>
          <xdr:spPr>
            <a:xfrm>
              <a:off x="1" y="1"/>
              <a:ext cx="2012156"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5</xdr:col>
      <xdr:colOff>0</xdr:colOff>
      <xdr:row>0</xdr:row>
      <xdr:rowOff>0</xdr:rowOff>
    </xdr:from>
    <xdr:to>
      <xdr:col>6</xdr:col>
      <xdr:colOff>0</xdr:colOff>
      <xdr:row>7</xdr:row>
      <xdr:rowOff>0</xdr:rowOff>
    </xdr:to>
    <mc:AlternateContent xmlns:mc="http://schemas.openxmlformats.org/markup-compatibility/2006" xmlns:sle15="http://schemas.microsoft.com/office/drawing/2012/slicer">
      <mc:Choice Requires="sle15">
        <xdr:graphicFrame macro="">
          <xdr:nvGraphicFramePr>
            <xdr:cNvPr id="4" name="ÖDENME DURUMU 9">
              <a:extLst>
                <a:ext uri="{FF2B5EF4-FFF2-40B4-BE49-F238E27FC236}">
                  <a16:creationId xmlns:a16="http://schemas.microsoft.com/office/drawing/2014/main" id="{59954CE7-C384-4563-A48A-DD1CDA3E8438}"/>
                </a:ext>
              </a:extLst>
            </xdr:cNvPr>
            <xdr:cNvGraphicFramePr/>
          </xdr:nvGraphicFramePr>
          <xdr:xfrm>
            <a:off x="0" y="0"/>
            <a:ext cx="0" cy="0"/>
          </xdr:xfrm>
          <a:graphic>
            <a:graphicData uri="http://schemas.microsoft.com/office/drawing/2010/slicer">
              <sle:slicer xmlns:sle="http://schemas.microsoft.com/office/drawing/2010/slicer" name="ÖDENME DURUMU 9"/>
            </a:graphicData>
          </a:graphic>
        </xdr:graphicFrame>
      </mc:Choice>
      <mc:Fallback xmlns="">
        <xdr:sp macro="" textlink="">
          <xdr:nvSpPr>
            <xdr:cNvPr id="0" name=""/>
            <xdr:cNvSpPr>
              <a:spLocks noTextEdit="1"/>
            </xdr:cNvSpPr>
          </xdr:nvSpPr>
          <xdr:spPr>
            <a:xfrm>
              <a:off x="8501063" y="0"/>
              <a:ext cx="1428750"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2</xdr:col>
      <xdr:colOff>0</xdr:colOff>
      <xdr:row>0</xdr:row>
      <xdr:rowOff>1</xdr:rowOff>
    </xdr:from>
    <xdr:to>
      <xdr:col>3</xdr:col>
      <xdr:colOff>0</xdr:colOff>
      <xdr:row>7</xdr:row>
      <xdr:rowOff>1</xdr:rowOff>
    </xdr:to>
    <mc:AlternateContent xmlns:mc="http://schemas.openxmlformats.org/markup-compatibility/2006" xmlns:sle15="http://schemas.microsoft.com/office/drawing/2012/slicer">
      <mc:Choice Requires="sle15">
        <xdr:graphicFrame macro="">
          <xdr:nvGraphicFramePr>
            <xdr:cNvPr id="5" name="İŞİN TÜRÜ 7">
              <a:extLst>
                <a:ext uri="{FF2B5EF4-FFF2-40B4-BE49-F238E27FC236}">
                  <a16:creationId xmlns:a16="http://schemas.microsoft.com/office/drawing/2014/main" id="{8ABB15A0-5B32-43A5-9C24-4FB29CAB205F}"/>
                </a:ext>
              </a:extLst>
            </xdr:cNvPr>
            <xdr:cNvGraphicFramePr/>
          </xdr:nvGraphicFramePr>
          <xdr:xfrm>
            <a:off x="0" y="0"/>
            <a:ext cx="0" cy="0"/>
          </xdr:xfrm>
          <a:graphic>
            <a:graphicData uri="http://schemas.microsoft.com/office/drawing/2010/slicer">
              <sle:slicer xmlns:sle="http://schemas.microsoft.com/office/drawing/2010/slicer" name="İŞİN TÜRÜ 7"/>
            </a:graphicData>
          </a:graphic>
        </xdr:graphicFrame>
      </mc:Choice>
      <mc:Fallback xmlns="">
        <xdr:sp macro="" textlink="">
          <xdr:nvSpPr>
            <xdr:cNvPr id="0" name=""/>
            <xdr:cNvSpPr>
              <a:spLocks noTextEdit="1"/>
            </xdr:cNvSpPr>
          </xdr:nvSpPr>
          <xdr:spPr>
            <a:xfrm>
              <a:off x="2012156" y="1"/>
              <a:ext cx="1738313"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xdr:from>
      <xdr:col>7</xdr:col>
      <xdr:colOff>59531</xdr:colOff>
      <xdr:row>0</xdr:row>
      <xdr:rowOff>119063</xdr:rowOff>
    </xdr:from>
    <xdr:to>
      <xdr:col>7</xdr:col>
      <xdr:colOff>1774030</xdr:colOff>
      <xdr:row>5</xdr:row>
      <xdr:rowOff>142874</xdr:rowOff>
    </xdr:to>
    <xdr:sp macro="" textlink="">
      <xdr:nvSpPr>
        <xdr:cNvPr id="6" name="Serbest Form 13">
          <a:hlinkClick xmlns:r="http://schemas.openxmlformats.org/officeDocument/2006/relationships" r:id="rId1"/>
          <a:extLst>
            <a:ext uri="{FF2B5EF4-FFF2-40B4-BE49-F238E27FC236}">
              <a16:creationId xmlns:a16="http://schemas.microsoft.com/office/drawing/2014/main" id="{A3D2F2DA-E2BB-488C-93D7-2184C6145345}"/>
            </a:ext>
          </a:extLst>
        </xdr:cNvPr>
        <xdr:cNvSpPr/>
      </xdr:nvSpPr>
      <xdr:spPr>
        <a:xfrm>
          <a:off x="11406187" y="119063"/>
          <a:ext cx="1714499" cy="1571624"/>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ANA SAYFA</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0</xdr:colOff>
      <xdr:row>0</xdr:row>
      <xdr:rowOff>0</xdr:rowOff>
    </xdr:from>
    <xdr:to>
      <xdr:col>5</xdr:col>
      <xdr:colOff>0</xdr:colOff>
      <xdr:row>7</xdr:row>
      <xdr:rowOff>0</xdr:rowOff>
    </xdr:to>
    <mc:AlternateContent xmlns:mc="http://schemas.openxmlformats.org/markup-compatibility/2006" xmlns:sle15="http://schemas.microsoft.com/office/drawing/2012/slicer">
      <mc:Choice Requires="sle15">
        <xdr:graphicFrame macro="">
          <xdr:nvGraphicFramePr>
            <xdr:cNvPr id="2" name="MÜŞTERİ ADI 9">
              <a:extLst>
                <a:ext uri="{FF2B5EF4-FFF2-40B4-BE49-F238E27FC236}">
                  <a16:creationId xmlns:a16="http://schemas.microsoft.com/office/drawing/2014/main" id="{2B47D8B7-DCB7-443D-8E77-BA054C71F87F}"/>
                </a:ext>
              </a:extLst>
            </xdr:cNvPr>
            <xdr:cNvGraphicFramePr/>
          </xdr:nvGraphicFramePr>
          <xdr:xfrm>
            <a:off x="0" y="0"/>
            <a:ext cx="0" cy="0"/>
          </xdr:xfrm>
          <a:graphic>
            <a:graphicData uri="http://schemas.microsoft.com/office/drawing/2010/slicer">
              <sle:slicer xmlns:sle="http://schemas.microsoft.com/office/drawing/2010/slicer" name="MÜŞTERİ ADI 9"/>
            </a:graphicData>
          </a:graphic>
        </xdr:graphicFrame>
      </mc:Choice>
      <mc:Fallback xmlns="">
        <xdr:sp macro="" textlink="">
          <xdr:nvSpPr>
            <xdr:cNvPr id="0" name=""/>
            <xdr:cNvSpPr>
              <a:spLocks noTextEdit="1"/>
            </xdr:cNvSpPr>
          </xdr:nvSpPr>
          <xdr:spPr>
            <a:xfrm>
              <a:off x="3750469" y="0"/>
              <a:ext cx="4750594"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0</xdr:col>
      <xdr:colOff>1</xdr:colOff>
      <xdr:row>0</xdr:row>
      <xdr:rowOff>1</xdr:rowOff>
    </xdr:from>
    <xdr:to>
      <xdr:col>2</xdr:col>
      <xdr:colOff>1</xdr:colOff>
      <xdr:row>7</xdr:row>
      <xdr:rowOff>1</xdr:rowOff>
    </xdr:to>
    <mc:AlternateContent xmlns:mc="http://schemas.openxmlformats.org/markup-compatibility/2006" xmlns:sle15="http://schemas.microsoft.com/office/drawing/2012/slicer">
      <mc:Choice Requires="sle15">
        <xdr:graphicFrame macro="">
          <xdr:nvGraphicFramePr>
            <xdr:cNvPr id="3" name="İŞİN DURUMU 10">
              <a:extLst>
                <a:ext uri="{FF2B5EF4-FFF2-40B4-BE49-F238E27FC236}">
                  <a16:creationId xmlns:a16="http://schemas.microsoft.com/office/drawing/2014/main" id="{AE30DD7D-8AD4-4C81-B3BF-81DCDD008A2E}"/>
                </a:ext>
              </a:extLst>
            </xdr:cNvPr>
            <xdr:cNvGraphicFramePr/>
          </xdr:nvGraphicFramePr>
          <xdr:xfrm>
            <a:off x="0" y="0"/>
            <a:ext cx="0" cy="0"/>
          </xdr:xfrm>
          <a:graphic>
            <a:graphicData uri="http://schemas.microsoft.com/office/drawing/2010/slicer">
              <sle:slicer xmlns:sle="http://schemas.microsoft.com/office/drawing/2010/slicer" name="İŞİN DURUMU 10"/>
            </a:graphicData>
          </a:graphic>
        </xdr:graphicFrame>
      </mc:Choice>
      <mc:Fallback xmlns="">
        <xdr:sp macro="" textlink="">
          <xdr:nvSpPr>
            <xdr:cNvPr id="0" name=""/>
            <xdr:cNvSpPr>
              <a:spLocks noTextEdit="1"/>
            </xdr:cNvSpPr>
          </xdr:nvSpPr>
          <xdr:spPr>
            <a:xfrm>
              <a:off x="1" y="1"/>
              <a:ext cx="2012156"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5</xdr:col>
      <xdr:colOff>0</xdr:colOff>
      <xdr:row>0</xdr:row>
      <xdr:rowOff>0</xdr:rowOff>
    </xdr:from>
    <xdr:to>
      <xdr:col>6</xdr:col>
      <xdr:colOff>0</xdr:colOff>
      <xdr:row>7</xdr:row>
      <xdr:rowOff>0</xdr:rowOff>
    </xdr:to>
    <mc:AlternateContent xmlns:mc="http://schemas.openxmlformats.org/markup-compatibility/2006" xmlns:sle15="http://schemas.microsoft.com/office/drawing/2012/slicer">
      <mc:Choice Requires="sle15">
        <xdr:graphicFrame macro="">
          <xdr:nvGraphicFramePr>
            <xdr:cNvPr id="4" name="ÖDENME DURUMU 10">
              <a:extLst>
                <a:ext uri="{FF2B5EF4-FFF2-40B4-BE49-F238E27FC236}">
                  <a16:creationId xmlns:a16="http://schemas.microsoft.com/office/drawing/2014/main" id="{249C1756-6564-4988-BDE4-8EE7AE4F0889}"/>
                </a:ext>
              </a:extLst>
            </xdr:cNvPr>
            <xdr:cNvGraphicFramePr/>
          </xdr:nvGraphicFramePr>
          <xdr:xfrm>
            <a:off x="0" y="0"/>
            <a:ext cx="0" cy="0"/>
          </xdr:xfrm>
          <a:graphic>
            <a:graphicData uri="http://schemas.microsoft.com/office/drawing/2010/slicer">
              <sle:slicer xmlns:sle="http://schemas.microsoft.com/office/drawing/2010/slicer" name="ÖDENME DURUMU 10"/>
            </a:graphicData>
          </a:graphic>
        </xdr:graphicFrame>
      </mc:Choice>
      <mc:Fallback xmlns="">
        <xdr:sp macro="" textlink="">
          <xdr:nvSpPr>
            <xdr:cNvPr id="0" name=""/>
            <xdr:cNvSpPr>
              <a:spLocks noTextEdit="1"/>
            </xdr:cNvSpPr>
          </xdr:nvSpPr>
          <xdr:spPr>
            <a:xfrm>
              <a:off x="8501063" y="0"/>
              <a:ext cx="1428750"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2</xdr:col>
      <xdr:colOff>0</xdr:colOff>
      <xdr:row>0</xdr:row>
      <xdr:rowOff>1</xdr:rowOff>
    </xdr:from>
    <xdr:to>
      <xdr:col>3</xdr:col>
      <xdr:colOff>0</xdr:colOff>
      <xdr:row>7</xdr:row>
      <xdr:rowOff>1</xdr:rowOff>
    </xdr:to>
    <mc:AlternateContent xmlns:mc="http://schemas.openxmlformats.org/markup-compatibility/2006" xmlns:sle15="http://schemas.microsoft.com/office/drawing/2012/slicer">
      <mc:Choice Requires="sle15">
        <xdr:graphicFrame macro="">
          <xdr:nvGraphicFramePr>
            <xdr:cNvPr id="5" name="İŞİN TÜRÜ 8">
              <a:extLst>
                <a:ext uri="{FF2B5EF4-FFF2-40B4-BE49-F238E27FC236}">
                  <a16:creationId xmlns:a16="http://schemas.microsoft.com/office/drawing/2014/main" id="{B450ADEE-2484-40A0-8656-49CF5D4C0DFA}"/>
                </a:ext>
              </a:extLst>
            </xdr:cNvPr>
            <xdr:cNvGraphicFramePr/>
          </xdr:nvGraphicFramePr>
          <xdr:xfrm>
            <a:off x="0" y="0"/>
            <a:ext cx="0" cy="0"/>
          </xdr:xfrm>
          <a:graphic>
            <a:graphicData uri="http://schemas.microsoft.com/office/drawing/2010/slicer">
              <sle:slicer xmlns:sle="http://schemas.microsoft.com/office/drawing/2010/slicer" name="İŞİN TÜRÜ 8"/>
            </a:graphicData>
          </a:graphic>
        </xdr:graphicFrame>
      </mc:Choice>
      <mc:Fallback xmlns="">
        <xdr:sp macro="" textlink="">
          <xdr:nvSpPr>
            <xdr:cNvPr id="0" name=""/>
            <xdr:cNvSpPr>
              <a:spLocks noTextEdit="1"/>
            </xdr:cNvSpPr>
          </xdr:nvSpPr>
          <xdr:spPr>
            <a:xfrm>
              <a:off x="2012156" y="1"/>
              <a:ext cx="1738313" cy="2166938"/>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xdr:from>
      <xdr:col>7</xdr:col>
      <xdr:colOff>130968</xdr:colOff>
      <xdr:row>0</xdr:row>
      <xdr:rowOff>166687</xdr:rowOff>
    </xdr:from>
    <xdr:to>
      <xdr:col>7</xdr:col>
      <xdr:colOff>1797843</xdr:colOff>
      <xdr:row>5</xdr:row>
      <xdr:rowOff>154779</xdr:rowOff>
    </xdr:to>
    <xdr:sp macro="" textlink="">
      <xdr:nvSpPr>
        <xdr:cNvPr id="6" name="Serbest Form 13">
          <a:hlinkClick xmlns:r="http://schemas.openxmlformats.org/officeDocument/2006/relationships" r:id="rId1"/>
          <a:extLst>
            <a:ext uri="{FF2B5EF4-FFF2-40B4-BE49-F238E27FC236}">
              <a16:creationId xmlns:a16="http://schemas.microsoft.com/office/drawing/2014/main" id="{DAA0F01D-031A-4E88-88FD-548EFE422BC2}"/>
            </a:ext>
          </a:extLst>
        </xdr:cNvPr>
        <xdr:cNvSpPr/>
      </xdr:nvSpPr>
      <xdr:spPr>
        <a:xfrm>
          <a:off x="11477624" y="166687"/>
          <a:ext cx="1666875" cy="1535905"/>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ANA SAYFA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18</xdr:col>
      <xdr:colOff>323850</xdr:colOff>
      <xdr:row>2</xdr:row>
      <xdr:rowOff>57150</xdr:rowOff>
    </xdr:from>
    <xdr:to>
      <xdr:col>21</xdr:col>
      <xdr:colOff>247650</xdr:colOff>
      <xdr:row>10</xdr:row>
      <xdr:rowOff>69055</xdr:rowOff>
    </xdr:to>
    <xdr:sp macro="" textlink="">
      <xdr:nvSpPr>
        <xdr:cNvPr id="2" name="Serbest Form 13">
          <a:hlinkClick xmlns:r="http://schemas.openxmlformats.org/officeDocument/2006/relationships" r:id="rId1"/>
          <a:extLst>
            <a:ext uri="{FF2B5EF4-FFF2-40B4-BE49-F238E27FC236}">
              <a16:creationId xmlns:a16="http://schemas.microsoft.com/office/drawing/2014/main" id="{7023161A-5C2F-41CA-8158-1A15194F74FD}"/>
            </a:ext>
          </a:extLst>
        </xdr:cNvPr>
        <xdr:cNvSpPr/>
      </xdr:nvSpPr>
      <xdr:spPr>
        <a:xfrm>
          <a:off x="6238875" y="628650"/>
          <a:ext cx="1666875" cy="1535905"/>
        </a:xfrm>
        <a:custGeom>
          <a:avLst/>
          <a:gdLst>
            <a:gd name="connsiteX0" fmla="*/ 0 w 776276"/>
            <a:gd name="connsiteY0" fmla="*/ 403860 h 807720"/>
            <a:gd name="connsiteX1" fmla="*/ 388138 w 776276"/>
            <a:gd name="connsiteY1" fmla="*/ 0 h 807720"/>
            <a:gd name="connsiteX2" fmla="*/ 776276 w 776276"/>
            <a:gd name="connsiteY2" fmla="*/ 403860 h 807720"/>
            <a:gd name="connsiteX3" fmla="*/ 388138 w 776276"/>
            <a:gd name="connsiteY3" fmla="*/ 807720 h 807720"/>
            <a:gd name="connsiteX4" fmla="*/ 0 w 776276"/>
            <a:gd name="connsiteY4" fmla="*/ 403860 h 8077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6276" h="807720">
              <a:moveTo>
                <a:pt x="0" y="403860"/>
              </a:moveTo>
              <a:cubicBezTo>
                <a:pt x="0" y="180814"/>
                <a:pt x="173775" y="0"/>
                <a:pt x="388138" y="0"/>
              </a:cubicBezTo>
              <a:cubicBezTo>
                <a:pt x="602501" y="0"/>
                <a:pt x="776276" y="180814"/>
                <a:pt x="776276" y="403860"/>
              </a:cubicBezTo>
              <a:cubicBezTo>
                <a:pt x="776276" y="626906"/>
                <a:pt x="602501" y="807720"/>
                <a:pt x="388138" y="807720"/>
              </a:cubicBezTo>
              <a:cubicBezTo>
                <a:pt x="173775" y="807720"/>
                <a:pt x="0" y="626906"/>
                <a:pt x="0" y="403860"/>
              </a:cubicBezTo>
              <a:close/>
            </a:path>
          </a:pathLst>
        </a:cu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spcFirstLastPara="0" vert="horz" wrap="square" lIns="123843" tIns="128448" rIns="123843" bIns="128448" numCol="1" spcCol="1270" anchor="ctr" anchorCtr="0">
          <a:noAutofit/>
        </a:bodyPr>
        <a:lstStyle/>
        <a:p>
          <a:pPr marL="0" marR="0" lvl="0" indent="0" algn="ctr" defTabSz="711200" eaLnBrk="1" fontAlgn="auto" latinLnBrk="0" hangingPunct="1">
            <a:lnSpc>
              <a:spcPct val="90000"/>
            </a:lnSpc>
            <a:spcBef>
              <a:spcPct val="0"/>
            </a:spcBef>
            <a:spcAft>
              <a:spcPct val="35000"/>
            </a:spcAft>
            <a:buClrTx/>
            <a:buSzTx/>
            <a:buFontTx/>
            <a:buNone/>
            <a:tabLst/>
            <a:defRPr/>
          </a:pPr>
          <a:r>
            <a:rPr kumimoji="0" lang="tr-TR" sz="1600" b="0" i="0" u="none" strike="noStrike" kern="1200" cap="none" spc="0" normalizeH="0" baseline="0" noProof="0">
              <a:ln>
                <a:noFill/>
              </a:ln>
              <a:solidFill>
                <a:sysClr val="window" lastClr="FFFFFF"/>
              </a:solidFill>
              <a:effectLst/>
              <a:uLnTx/>
              <a:uFillTx/>
              <a:latin typeface="Calibri"/>
              <a:ea typeface="+mn-ea"/>
              <a:cs typeface="+mn-cs"/>
            </a:rPr>
            <a:t>ANA SAYFA</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CRM\Excel_Projeleri\1-In_Prog\2022-06-02-Mahmut_Yal&#231;&#305;n_Ayakab&#305;_Hammadde\Main_Sipari&#351;_Fi&#351;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My%20Drive\CRM\Excel_Projeleri\Tamamlananlar\2022-04-18-Express_Solutions_Mozambik\ES-Sat&#305;&#351;-Al&#305;&#351;-Maliyet_Program&#305;_v0.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01_PLANAKS%20M&#220;HEND&#304;SL&#304;K%202026\FATURA%20T%20AK&#304;P%20PROGRAMI.xlsm" TargetMode="External"/><Relationship Id="rId1" Type="http://schemas.openxmlformats.org/officeDocument/2006/relationships/externalLinkPath" Target="file:///D:\01_PLANAKS%20M&#220;HEND&#304;SL&#304;K%202026\FATURA%20T%20AK&#304;P%20PROGRAMI.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alih\Desktop\EXCEL751-Emlak%20Takip%20Program&#305;.xlsm" TargetMode="External"/><Relationship Id="rId1" Type="http://schemas.openxmlformats.org/officeDocument/2006/relationships/externalLinkPath" Target="/Users/salih/Desktop/EXCEL751-Emlak%20Takip%20Program&#30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alih/Desktop/EXCEL751-SATI&#350;_TAK&#304;P_PROGRAMI_Hamburger_Men&#252;l&#252;.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salih\Desktop\EXCEL751-BORSA_PROGRAMI.xlsm" TargetMode="External"/><Relationship Id="rId1" Type="http://schemas.openxmlformats.org/officeDocument/2006/relationships/externalLinkPath" Target="/Users/salih/Desktop/EXCEL751-BORSA_PROGRAMI.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My%20Drive\WEBSITES\BLOG.EXCEL751.COM\Free_Resources\Excel751-Stok_Program&#30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salih/Desktop/Excel751-G&#252;vercin_v2-TR.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My%20Drive\PRODUCTS\Shopier\Paketler\40plus_Excel_&#350;ablon_Paketi\2022-04-25_40+_&#350;ablonlar_VBA_Kilitli\Program%20&amp;%20Taslaklar\EXCEL751-Fiyatlara_Zam-&#304;ndirim_Uygulama_Program&#3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ipariş Fişi"/>
      <sheetName val="Siparişler"/>
      <sheetName val="Ürünlerim"/>
      <sheetName val="Carilerim"/>
      <sheetName val="Döküm Raporu"/>
      <sheetName val="Ayarlar"/>
      <sheetName val="Kılavuz"/>
      <sheetName val="Sayfa3"/>
      <sheetName val="Main_Sipariş_Fişi"/>
    </sheetNames>
    <sheetDataSet>
      <sheetData sheetId="0"/>
      <sheetData sheetId="1"/>
      <sheetData sheetId="2">
        <row r="2">
          <cell r="G2">
            <v>15</v>
          </cell>
        </row>
        <row r="3">
          <cell r="G3">
            <v>16</v>
          </cell>
        </row>
      </sheetData>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atışlar"/>
      <sheetName val="G_Alışlar"/>
      <sheetName val="G_Maliyetler"/>
      <sheetName val="R_DashBoard"/>
      <sheetName val="R_Servis"/>
      <sheetName val="R_Banka-Kasa"/>
      <sheetName val="R_Müş-Ted"/>
      <sheetName val="R_Vade"/>
      <sheetName val="Ayarlar"/>
      <sheetName val="Personeller"/>
      <sheetName val="Kılavuz"/>
      <sheetName val="data"/>
      <sheetName val="pvt_Dashh"/>
      <sheetName val="Pvt_Listeler"/>
      <sheetName val="ES-Satış-Alış-Maliyet_Programı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ow r="3">
          <cell r="A3" t="str">
            <v>Maliyet Kategorisi</v>
          </cell>
        </row>
        <row r="4">
          <cell r="A4" t="str">
            <v>Ofis</v>
          </cell>
        </row>
        <row r="5">
          <cell r="A5" t="str">
            <v>Personel Giderleri</v>
          </cell>
        </row>
        <row r="6">
          <cell r="A6" t="str">
            <v>Yatırım Giderleri</v>
          </cell>
        </row>
      </sheetData>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ılavuz"/>
      <sheetName val="G_Fatura"/>
      <sheetName val="G_Müşteri"/>
      <sheetName val="G_Tedarikçi"/>
      <sheetName val="G_Banka"/>
      <sheetName val="R_CariRaporu"/>
      <sheetName val="Ayarlar"/>
      <sheetName val="FATURA T AKİP PROGRAMI"/>
    </sheetNames>
    <sheetDataSet>
      <sheetData sheetId="0" refreshError="1"/>
      <sheetData sheetId="1" refreshError="1"/>
      <sheetData sheetId="2"/>
      <sheetData sheetId="3"/>
      <sheetData sheetId="4"/>
      <sheetData sheetId="5" refreshError="1"/>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ılavuz"/>
      <sheetName val="✚ Giriş"/>
      <sheetName val="✚ Müşteriler"/>
      <sheetName val="◔ Rapor"/>
      <sheetName val="❖ Ayarlar"/>
      <sheetName val="pvt"/>
      <sheetName val="EXCEL751-Emlak Takip Programı"/>
    </sheetNames>
    <sheetDataSet>
      <sheetData sheetId="0"/>
      <sheetData sheetId="1"/>
      <sheetData sheetId="2"/>
      <sheetData sheetId="3"/>
      <sheetData sheetId="4"/>
      <sheetData sheetId="5"/>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_Durum"/>
      <sheetName val="Ürünler"/>
      <sheetName val="Satışlar"/>
      <sheetName val="Personeller"/>
      <sheetName val="Kaynaklar"/>
      <sheetName val="Ayarlar"/>
      <sheetName val="pvt_dash"/>
      <sheetName val="EXCEL751-SATIŞ_TAKİP_PROGRAMI_H"/>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petim"/>
      <sheetName val="Rapor"/>
      <sheetName val="BIST 100"/>
      <sheetName val="TÜM HİSSELER"/>
      <sheetName val="Kaynaklar"/>
      <sheetName val="EXCEL751-BORSA_PROGRAMI"/>
      <sheetName val="Kılavuz"/>
    </sheetNames>
    <sheetDataSet>
      <sheetData sheetId="0"/>
      <sheetData sheetId="1"/>
      <sheetData sheetId="2"/>
      <sheetData sheetId="3"/>
      <sheetData sheetId="4" refreshError="1"/>
      <sheetData sheetId="5" refreshError="1"/>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751"/>
      <sheetName val="Stok Hareketleri"/>
      <sheetName val="Ürünlerim"/>
      <sheetName val="Rapor"/>
      <sheetName val="Excel751-Stok_Programı"/>
    </sheetNames>
    <sheetDataSet>
      <sheetData sheetId="0"/>
      <sheetData sheetId="1"/>
      <sheetData sheetId="2"/>
      <sheetData sheetId="3"/>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yfa"/>
      <sheetName val="Kime"/>
      <sheetName val="Tablo"/>
      <sheetName val="© 751"/>
      <sheetName val="data"/>
    </sheetNames>
    <sheetDataSet>
      <sheetData sheetId="0">
        <row r="8">
          <cell r="C8" t="str">
            <v>Merhabalar;</v>
          </cell>
        </row>
        <row r="9">
          <cell r="C9" t="str">
            <v>Burası ilk paragraftır</v>
          </cell>
        </row>
        <row r="10">
          <cell r="C10" t="str">
            <v>Burası ikinci paragraftır</v>
          </cell>
        </row>
        <row r="11">
          <cell r="C11" t="str">
            <v>Burası üçüncü paragraftır</v>
          </cell>
        </row>
        <row r="12">
          <cell r="C12" t="str">
            <v>Burası dördüncü paragraftır</v>
          </cell>
        </row>
        <row r="13">
          <cell r="C13" t="str">
            <v>Burası beşinci paragraftır</v>
          </cell>
        </row>
        <row r="14">
          <cell r="C14" t="str">
            <v>E-posta imzanızı bu alana girebilirsiniz. (Örn: Salih Hocaoğlu - Founder @EXCEL 751)</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751"/>
      <sheetName val="Ürün_Fiyat_Listesi"/>
    </sheetNames>
    <sheetDataSet>
      <sheetData sheetId="0" refreshError="1"/>
      <sheetData sheetId="1">
        <row r="3">
          <cell r="E3">
            <v>0</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MÜŞTERİ_ADI11111111" xr10:uid="{572E4122-6293-4942-A180-8B322CD3541F}" sourceName="MÜŞTERİ ADI">
  <extLst>
    <x:ext xmlns:x15="http://schemas.microsoft.com/office/spreadsheetml/2010/11/main" uri="{2F2917AC-EB37-4324-AD4E-5DD8C200BD13}">
      <x15:tableSlicerCache tableId="23"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İŞİN_DURUMU21111111" xr10:uid="{6E806F8A-531B-4745-9D4B-7446FE1C0692}" sourceName="İŞİN DURUMU">
  <extLst>
    <x:ext xmlns:x15="http://schemas.microsoft.com/office/spreadsheetml/2010/11/main" uri="{2F2917AC-EB37-4324-AD4E-5DD8C200BD13}">
      <x15:tableSlicerCache tableId="23"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ÖDENME_DURUMU21111111" xr10:uid="{03619844-752F-4A65-A0FB-D5DE6A73B4F8}" sourceName="ÖDENME DURUMU">
  <extLst>
    <x:ext xmlns:x15="http://schemas.microsoft.com/office/spreadsheetml/2010/11/main" uri="{2F2917AC-EB37-4324-AD4E-5DD8C200BD13}">
      <x15:tableSlicerCache tableId="23"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İŞİN_TÜRÜ1111111" xr10:uid="{6C1D7243-D40C-420D-B9FA-ADF76A8CCD8A}" sourceName="İŞİN TÜRÜ">
  <extLst>
    <x:ext xmlns:x15="http://schemas.microsoft.com/office/spreadsheetml/2010/11/main" uri="{2F2917AC-EB37-4324-AD4E-5DD8C200BD13}">
      <x15:tableSlicerCache tableId="23" column="1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MÜŞTERİ_ADI111111111" xr10:uid="{ED564AF2-3A16-4F7E-B073-3AD58FE9F38B}" sourceName="MÜŞTERİ ADI">
  <extLst>
    <x:ext xmlns:x15="http://schemas.microsoft.com/office/spreadsheetml/2010/11/main" uri="{2F2917AC-EB37-4324-AD4E-5DD8C200BD13}">
      <x15:tableSlicerCache tableId="1"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İŞİN_DURUMU211111111" xr10:uid="{56145809-8715-4527-9FEB-5B03454B8FB1}" sourceName="İŞİN DURUMU">
  <extLst>
    <x:ext xmlns:x15="http://schemas.microsoft.com/office/spreadsheetml/2010/11/main" uri="{2F2917AC-EB37-4324-AD4E-5DD8C200BD13}">
      <x15:tableSlicerCache tableId="1"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ÖDENME_DURUMU211111111" xr10:uid="{55DD2EC4-459F-4576-B405-D2109291FE23}" sourceName="ÖDENME DURUMU">
  <extLst>
    <x:ext xmlns:x15="http://schemas.microsoft.com/office/spreadsheetml/2010/11/main" uri="{2F2917AC-EB37-4324-AD4E-5DD8C200BD13}">
      <x15:tableSlicerCache tableId="1" column="10"/>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İŞİN_TÜRÜ11111111" xr10:uid="{F7020A46-CAAA-441F-8E94-588D5C0F6F8B}" sourceName="İŞİN TÜRÜ">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ÜŞTERİ ADI 8" xr10:uid="{C9CF088E-3BE7-4B06-B393-2F8B984E6263}" cache="Dilimleyici_MÜŞTERİ_ADI11111111" caption="MÜŞTERİ ADI" rowHeight="241300"/>
  <slicer name="İŞİN DURUMU 9" xr10:uid="{66913B5A-3193-481C-A7C3-44F2A3EFB5EB}" cache="Dilimleyici_İŞİN_DURUMU21111111" caption="İŞİN DURUMU" rowHeight="241300"/>
  <slicer name="ÖDENME DURUMU 9" xr10:uid="{8D5CAACB-F9CC-4EBE-ADE7-141B13E8A104}" cache="Dilimleyici_ÖDENME_DURUMU21111111" caption="ÖDENME DURUMU" rowHeight="241300"/>
  <slicer name="İŞİN TÜRÜ 7" xr10:uid="{9E8E005D-A4C9-474E-BA97-12FCBA1085B8}" cache="Dilimleyici_İŞİN_TÜRÜ1111111" caption="İŞİN TÜRÜ"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ÜŞTERİ ADI 9" xr10:uid="{3120CEC5-9082-41A7-A01C-AED7B000190F}" cache="Dilimleyici_MÜŞTERİ_ADI111111111" caption="MÜŞTERİ ADI" rowHeight="241300"/>
  <slicer name="İŞİN DURUMU 10" xr10:uid="{27F88B8E-6D7C-4B20-BF08-203A4FF114CE}" cache="Dilimleyici_İŞİN_DURUMU211111111" caption="İŞİN DURUMU" rowHeight="241300"/>
  <slicer name="ÖDENME DURUMU 10" xr10:uid="{4758CACC-5901-4B0F-9F5C-F14B02988CAE}" cache="Dilimleyici_ÖDENME_DURUMU211111111" caption="ÖDENME DURUMU" rowHeight="241300"/>
  <slicer name="İŞİN TÜRÜ 8" xr10:uid="{841C10FE-B8EF-455B-857E-FE4C59571CC7}" cache="Dilimleyici_İŞİN_TÜRÜ11111111" caption="İŞİN TÜRÜ"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478FF8-8FD8-49CA-BF21-68661498139B}" name="Tablo43" displayName="Tablo43" ref="B5:K42" totalsRowCount="1" headerRowDxfId="91" dataDxfId="90" totalsRowDxfId="89" totalsRowBorderDxfId="88">
  <autoFilter ref="B5:K41" xr:uid="{1CB36105-2F57-463B-8ABD-AE131D23A977}"/>
  <tableColumns count="10">
    <tableColumn id="1" xr3:uid="{0FC50720-FC6F-4E99-8E34-9A84EBA724D9}" name="Fatura Tarihi" totalsRowDxfId="30"/>
    <tableColumn id="5" xr3:uid="{100F4F35-F67C-446B-8395-DBB6A1F64A55}" name="Fatura Tipi" totalsRowDxfId="29"/>
    <tableColumn id="2" xr3:uid="{AA3250F1-7012-4A49-8310-14B1F11ABBF8}" name="Fatura No" totalsRowDxfId="28"/>
    <tableColumn id="11" xr3:uid="{FFECDE96-55B4-48A7-B233-AB744C06912C}" name="Vergi Numarası" totalsRowDxfId="27"/>
    <tableColumn id="12" xr3:uid="{8E2EFE2E-9E2A-4BB6-AA7D-EDD5CD20CB76}" name="Müşteri Adı" totalsRowDxfId="26"/>
    <tableColumn id="6" xr3:uid="{7ED128B8-86D5-4FCD-BD7A-74E8D75AF8D9}" name="Hizmet Tutarı" totalsRowFunction="sum" totalsRowDxfId="25"/>
    <tableColumn id="7" xr3:uid="{7C56358C-45DC-4410-8990-FAE98B6D5A93}" name="Vergi Oranı (KDV)" totalsRowFunction="sum" totalsRowDxfId="24"/>
    <tableColumn id="8" xr3:uid="{A5A16C2F-3C68-402C-993F-81F37B71CC73}" name="Fatura Tutarı" totalsRowFunction="sum" totalsRowDxfId="23">
      <calculatedColumnFormula>+Tablo43[[#This Row],[Hizmet Tutarı]]+Tablo43[[#This Row],[Vergi Oranı (KDV)]]</calculatedColumnFormula>
    </tableColumn>
    <tableColumn id="9" xr3:uid="{B394CD53-4597-4584-B601-97317C322FC7}" name="Ödenme Durumu" totalsRowDxfId="22"/>
    <tableColumn id="3" xr3:uid="{76522550-AD2D-4E89-9C1C-F66D2ADB3C65}" name="Notlar" dataDxfId="87" totalsRowDxfId="21"/>
  </tableColumns>
  <tableStyleInfo name="TableStyleLight10"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DBCCB17-3835-467D-9149-CE9265144183}" name="Tablo1710612131618202224" displayName="Tablo1710612131618202224" ref="A9:J999" totalsRowCount="1" headerRowDxfId="86" dataDxfId="85" totalsRowDxfId="84">
  <autoFilter ref="A9:J998" xr:uid="{1DBCCB17-3835-467D-9149-CE9265144183}"/>
  <tableColumns count="10">
    <tableColumn id="2" xr3:uid="{4B9A45A7-2C1F-443C-A86C-C6BC08EFA536}" name="TARİH" totalsRowLabel="Toplam" dataDxfId="83" totalsRowDxfId="20"/>
    <tableColumn id="1" xr3:uid="{6D716C48-11D5-4DD7-B23B-5A851BC466E9}" name="DOSYA NO" dataDxfId="82" totalsRowDxfId="19"/>
    <tableColumn id="4" xr3:uid="{5E606CC0-3FB9-4704-BAAD-F2C247DC9C4E}" name="MÜŞTERİ ADI" dataDxfId="81" totalsRowDxfId="18"/>
    <tableColumn id="3" xr3:uid="{465676BF-9A4E-47EC-B25B-61939D6D2DF7}" name="İŞİN ADI" dataDxfId="80" totalsRowDxfId="17"/>
    <tableColumn id="11" xr3:uid="{1C8695A8-46C2-4454-B929-610B91DA5442}" name="İŞİN TÜRÜ" dataDxfId="79" totalsRowDxfId="16"/>
    <tableColumn id="5" xr3:uid="{02FA74D2-0037-4982-AEF9-BDB53266700E}" name="İŞİN DURUMU" dataDxfId="78" totalsRowDxfId="15"/>
    <tableColumn id="13" xr3:uid="{F0A0538B-2D66-46A4-8410-35D9BFFE42C9}" name="SATIŞ TUTARI" totalsRowFunction="sum" dataDxfId="77" totalsRowDxfId="14"/>
    <tableColumn id="10" xr3:uid="{E4E0806F-6B21-47DA-9728-12B7B2727064}" name="ÖDENME DURUMU" dataDxfId="76" totalsRowDxfId="13"/>
    <tableColumn id="7" xr3:uid="{FC0407DC-3269-444E-A8E3-E7352DC26802}" name="1.NOT" dataDxfId="75" totalsRowDxfId="12"/>
    <tableColumn id="6" xr3:uid="{6B2FB9EC-000F-4CB1-B832-9CAAE22E3FF9}" name="2.NOT" dataDxfId="74" totalsRowDxfId="11"/>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A659DC-2489-49FE-8D05-061E17D54289}" name="Tablo17106121316182022242" displayName="Tablo17106121316182022242" ref="A9:K998" totalsRowCount="1" headerRowDxfId="73" dataDxfId="72" totalsRowDxfId="71">
  <autoFilter ref="A9:K997" xr:uid="{1DBCCB17-3835-467D-9149-CE9265144183}"/>
  <tableColumns count="11">
    <tableColumn id="2" xr3:uid="{3A8D4118-12AB-4E10-9A06-69865ECABF33}" name="TARİH" totalsRowLabel="Toplam" dataDxfId="70" totalsRowDxfId="10"/>
    <tableColumn id="1" xr3:uid="{4DDF7330-A79D-4575-A34C-CDBF036BA7C8}" name="DOSYA NO" dataDxfId="69" totalsRowDxfId="9"/>
    <tableColumn id="4" xr3:uid="{F9447236-B422-4AF8-8669-13CBEBAF0786}" name="MÜŞTERİ ADI" dataDxfId="68" totalsRowDxfId="8"/>
    <tableColumn id="3" xr3:uid="{830DBB64-AFC5-4712-A8B8-7C0031C9B705}" name="İŞİN ADI" dataDxfId="67" totalsRowDxfId="7"/>
    <tableColumn id="11" xr3:uid="{0ED0AE1E-301D-4241-90A9-56ADEED68961}" name="İŞİN TÜRÜ" dataDxfId="66" totalsRowDxfId="6"/>
    <tableColumn id="5" xr3:uid="{CD71B232-D34D-4BC5-83E4-7C60E43B169D}" name="İŞİN DURUMU" dataDxfId="65" totalsRowDxfId="5"/>
    <tableColumn id="13" xr3:uid="{640155ED-66FB-4426-8583-4222A801DE18}" name="SATIŞ TUTARI" totalsRowFunction="sum" dataDxfId="64" totalsRowDxfId="4"/>
    <tableColumn id="10" xr3:uid="{79D69429-459E-43DA-8567-9EABCD0A5249}" name="ÖDENME DURUMU" dataDxfId="63" totalsRowDxfId="3"/>
    <tableColumn id="7" xr3:uid="{CFA28399-7937-480A-9EB4-3C61415FE6E9}" name="HARÇ ÜCRETİ" dataDxfId="62" totalsRowDxfId="2"/>
    <tableColumn id="6" xr3:uid="{3807057F-4D56-4358-8946-3A5D13E0BD59}" name="2.NOT" dataDxfId="61" totalsRowDxfId="1"/>
    <tableColumn id="8" xr3:uid="{F442D6FA-048E-42F7-8DC3-82F873CAD164}" name="3.NOT" dataDxfId="60" totalsRow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37EC-6255-41C5-BFFB-B4E81DEFBC15}">
  <sheetPr codeName="Sayfa16"/>
  <dimension ref="B1:J112"/>
  <sheetViews>
    <sheetView workbookViewId="0">
      <selection activeCell="D18" sqref="D18"/>
    </sheetView>
  </sheetViews>
  <sheetFormatPr defaultRowHeight="15" x14ac:dyDescent="0.25"/>
  <cols>
    <col min="2" max="2" width="11" bestFit="1" customWidth="1"/>
    <col min="3" max="4" width="23.5703125" bestFit="1" customWidth="1"/>
    <col min="5" max="5" width="28.85546875" bestFit="1" customWidth="1"/>
    <col min="6" max="6" width="14.5703125" bestFit="1" customWidth="1"/>
    <col min="7" max="7" width="24" bestFit="1" customWidth="1"/>
    <col min="8" max="8" width="11.85546875" bestFit="1" customWidth="1"/>
    <col min="9" max="9" width="12.7109375" bestFit="1" customWidth="1"/>
    <col min="10" max="10" width="19" bestFit="1" customWidth="1"/>
  </cols>
  <sheetData>
    <row r="1" spans="2:10" x14ac:dyDescent="0.25">
      <c r="H1" s="94" t="s">
        <v>363</v>
      </c>
      <c r="I1" s="94"/>
      <c r="J1" s="94"/>
    </row>
    <row r="2" spans="2:10" x14ac:dyDescent="0.25">
      <c r="B2" s="42" t="s">
        <v>133</v>
      </c>
      <c r="C2" s="42" t="s">
        <v>249</v>
      </c>
      <c r="D2" s="42" t="s">
        <v>250</v>
      </c>
      <c r="E2" s="42" t="s">
        <v>3</v>
      </c>
      <c r="F2" s="42" t="s">
        <v>4</v>
      </c>
      <c r="G2" s="42" t="s">
        <v>20</v>
      </c>
      <c r="H2" s="42" t="s">
        <v>19</v>
      </c>
      <c r="I2" s="42" t="s">
        <v>360</v>
      </c>
      <c r="J2" s="42" t="s">
        <v>362</v>
      </c>
    </row>
    <row r="3" spans="2:10" x14ac:dyDescent="0.25">
      <c r="B3" t="s">
        <v>134</v>
      </c>
      <c r="E3" t="s">
        <v>77</v>
      </c>
      <c r="F3" t="s">
        <v>5</v>
      </c>
      <c r="G3" t="s">
        <v>22</v>
      </c>
      <c r="H3" t="s">
        <v>358</v>
      </c>
      <c r="I3" s="87">
        <v>0.01</v>
      </c>
      <c r="J3" t="s">
        <v>364</v>
      </c>
    </row>
    <row r="4" spans="2:10" x14ac:dyDescent="0.25">
      <c r="B4" t="s">
        <v>135</v>
      </c>
      <c r="E4" t="s">
        <v>62</v>
      </c>
      <c r="F4" t="s">
        <v>6</v>
      </c>
      <c r="G4" t="s">
        <v>27</v>
      </c>
      <c r="H4" t="s">
        <v>273</v>
      </c>
      <c r="I4" s="87">
        <v>0.1</v>
      </c>
      <c r="J4" t="s">
        <v>365</v>
      </c>
    </row>
    <row r="5" spans="2:10" x14ac:dyDescent="0.25">
      <c r="B5" t="s">
        <v>136</v>
      </c>
      <c r="E5" t="s">
        <v>79</v>
      </c>
      <c r="F5" t="s">
        <v>14</v>
      </c>
      <c r="H5" t="s">
        <v>372</v>
      </c>
      <c r="I5" s="87">
        <v>0.2</v>
      </c>
      <c r="J5" t="s">
        <v>366</v>
      </c>
    </row>
    <row r="6" spans="2:10" x14ac:dyDescent="0.25">
      <c r="B6" t="s">
        <v>137</v>
      </c>
      <c r="E6" t="s">
        <v>17</v>
      </c>
      <c r="F6" t="s">
        <v>15</v>
      </c>
    </row>
    <row r="7" spans="2:10" x14ac:dyDescent="0.25">
      <c r="B7" t="s">
        <v>138</v>
      </c>
      <c r="E7" t="s">
        <v>16</v>
      </c>
    </row>
    <row r="8" spans="2:10" x14ac:dyDescent="0.25">
      <c r="B8" t="s">
        <v>139</v>
      </c>
      <c r="E8" t="s">
        <v>92</v>
      </c>
    </row>
    <row r="9" spans="2:10" x14ac:dyDescent="0.25">
      <c r="B9" t="s">
        <v>140</v>
      </c>
    </row>
    <row r="10" spans="2:10" x14ac:dyDescent="0.25">
      <c r="B10" t="s">
        <v>141</v>
      </c>
    </row>
    <row r="11" spans="2:10" x14ac:dyDescent="0.25">
      <c r="B11" t="s">
        <v>142</v>
      </c>
    </row>
    <row r="12" spans="2:10" x14ac:dyDescent="0.25">
      <c r="B12" t="s">
        <v>143</v>
      </c>
    </row>
    <row r="13" spans="2:10" x14ac:dyDescent="0.25">
      <c r="B13" t="s">
        <v>144</v>
      </c>
    </row>
    <row r="14" spans="2:10" x14ac:dyDescent="0.25">
      <c r="B14" t="s">
        <v>145</v>
      </c>
    </row>
    <row r="15" spans="2:10" x14ac:dyDescent="0.25">
      <c r="B15" t="s">
        <v>146</v>
      </c>
    </row>
    <row r="16" spans="2:10" x14ac:dyDescent="0.25">
      <c r="B16" t="s">
        <v>147</v>
      </c>
    </row>
    <row r="17" spans="2:2" x14ac:dyDescent="0.25">
      <c r="B17" t="s">
        <v>148</v>
      </c>
    </row>
    <row r="18" spans="2:2" x14ac:dyDescent="0.25">
      <c r="B18" t="s">
        <v>149</v>
      </c>
    </row>
    <row r="19" spans="2:2" x14ac:dyDescent="0.25">
      <c r="B19" t="s">
        <v>150</v>
      </c>
    </row>
    <row r="20" spans="2:2" x14ac:dyDescent="0.25">
      <c r="B20" t="s">
        <v>151</v>
      </c>
    </row>
    <row r="21" spans="2:2" x14ac:dyDescent="0.25">
      <c r="B21" t="s">
        <v>152</v>
      </c>
    </row>
    <row r="22" spans="2:2" x14ac:dyDescent="0.25">
      <c r="B22" t="s">
        <v>153</v>
      </c>
    </row>
    <row r="23" spans="2:2" x14ac:dyDescent="0.25">
      <c r="B23" t="s">
        <v>154</v>
      </c>
    </row>
    <row r="24" spans="2:2" x14ac:dyDescent="0.25">
      <c r="B24" t="s">
        <v>155</v>
      </c>
    </row>
    <row r="25" spans="2:2" x14ac:dyDescent="0.25">
      <c r="B25" t="s">
        <v>156</v>
      </c>
    </row>
    <row r="26" spans="2:2" x14ac:dyDescent="0.25">
      <c r="B26" t="s">
        <v>157</v>
      </c>
    </row>
    <row r="27" spans="2:2" x14ac:dyDescent="0.25">
      <c r="B27" t="s">
        <v>158</v>
      </c>
    </row>
    <row r="28" spans="2:2" x14ac:dyDescent="0.25">
      <c r="B28" t="s">
        <v>159</v>
      </c>
    </row>
    <row r="29" spans="2:2" x14ac:dyDescent="0.25">
      <c r="B29" t="s">
        <v>160</v>
      </c>
    </row>
    <row r="30" spans="2:2" x14ac:dyDescent="0.25">
      <c r="B30" t="s">
        <v>161</v>
      </c>
    </row>
    <row r="31" spans="2:2" x14ac:dyDescent="0.25">
      <c r="B31" t="s">
        <v>162</v>
      </c>
    </row>
    <row r="32" spans="2:2" x14ac:dyDescent="0.25">
      <c r="B32" t="s">
        <v>163</v>
      </c>
    </row>
    <row r="33" spans="2:2" x14ac:dyDescent="0.25">
      <c r="B33" t="s">
        <v>164</v>
      </c>
    </row>
    <row r="34" spans="2:2" x14ac:dyDescent="0.25">
      <c r="B34" t="s">
        <v>165</v>
      </c>
    </row>
    <row r="35" spans="2:2" x14ac:dyDescent="0.25">
      <c r="B35" t="s">
        <v>166</v>
      </c>
    </row>
    <row r="36" spans="2:2" x14ac:dyDescent="0.25">
      <c r="B36" t="s">
        <v>167</v>
      </c>
    </row>
    <row r="37" spans="2:2" x14ac:dyDescent="0.25">
      <c r="B37" t="s">
        <v>168</v>
      </c>
    </row>
    <row r="38" spans="2:2" x14ac:dyDescent="0.25">
      <c r="B38" t="s">
        <v>169</v>
      </c>
    </row>
    <row r="39" spans="2:2" x14ac:dyDescent="0.25">
      <c r="B39" t="s">
        <v>170</v>
      </c>
    </row>
    <row r="40" spans="2:2" x14ac:dyDescent="0.25">
      <c r="B40" t="s">
        <v>171</v>
      </c>
    </row>
    <row r="41" spans="2:2" x14ac:dyDescent="0.25">
      <c r="B41" t="s">
        <v>172</v>
      </c>
    </row>
    <row r="42" spans="2:2" x14ac:dyDescent="0.25">
      <c r="B42" t="s">
        <v>173</v>
      </c>
    </row>
    <row r="43" spans="2:2" x14ac:dyDescent="0.25">
      <c r="B43" t="s">
        <v>174</v>
      </c>
    </row>
    <row r="44" spans="2:2" x14ac:dyDescent="0.25">
      <c r="B44" t="s">
        <v>175</v>
      </c>
    </row>
    <row r="45" spans="2:2" x14ac:dyDescent="0.25">
      <c r="B45" t="s">
        <v>176</v>
      </c>
    </row>
    <row r="46" spans="2:2" x14ac:dyDescent="0.25">
      <c r="B46" t="s">
        <v>177</v>
      </c>
    </row>
    <row r="47" spans="2:2" x14ac:dyDescent="0.25">
      <c r="B47" t="s">
        <v>178</v>
      </c>
    </row>
    <row r="48" spans="2:2" x14ac:dyDescent="0.25">
      <c r="B48" t="s">
        <v>179</v>
      </c>
    </row>
    <row r="49" spans="2:2" x14ac:dyDescent="0.25">
      <c r="B49" t="s">
        <v>180</v>
      </c>
    </row>
    <row r="50" spans="2:2" x14ac:dyDescent="0.25">
      <c r="B50" t="s">
        <v>181</v>
      </c>
    </row>
    <row r="51" spans="2:2" x14ac:dyDescent="0.25">
      <c r="B51" t="s">
        <v>182</v>
      </c>
    </row>
    <row r="52" spans="2:2" x14ac:dyDescent="0.25">
      <c r="B52" t="s">
        <v>183</v>
      </c>
    </row>
    <row r="53" spans="2:2" x14ac:dyDescent="0.25">
      <c r="B53" t="s">
        <v>184</v>
      </c>
    </row>
    <row r="54" spans="2:2" x14ac:dyDescent="0.25">
      <c r="B54" t="s">
        <v>185</v>
      </c>
    </row>
    <row r="55" spans="2:2" x14ac:dyDescent="0.25">
      <c r="B55" t="s">
        <v>186</v>
      </c>
    </row>
    <row r="56" spans="2:2" x14ac:dyDescent="0.25">
      <c r="B56" t="s">
        <v>187</v>
      </c>
    </row>
    <row r="57" spans="2:2" x14ac:dyDescent="0.25">
      <c r="B57" t="s">
        <v>188</v>
      </c>
    </row>
    <row r="58" spans="2:2" x14ac:dyDescent="0.25">
      <c r="B58" t="s">
        <v>189</v>
      </c>
    </row>
    <row r="59" spans="2:2" x14ac:dyDescent="0.25">
      <c r="B59" t="s">
        <v>190</v>
      </c>
    </row>
    <row r="60" spans="2:2" x14ac:dyDescent="0.25">
      <c r="B60" t="s">
        <v>191</v>
      </c>
    </row>
    <row r="61" spans="2:2" x14ac:dyDescent="0.25">
      <c r="B61" t="s">
        <v>192</v>
      </c>
    </row>
    <row r="62" spans="2:2" x14ac:dyDescent="0.25">
      <c r="B62" t="s">
        <v>193</v>
      </c>
    </row>
    <row r="63" spans="2:2" x14ac:dyDescent="0.25">
      <c r="B63" t="s">
        <v>194</v>
      </c>
    </row>
    <row r="64" spans="2:2" x14ac:dyDescent="0.25">
      <c r="B64" t="s">
        <v>195</v>
      </c>
    </row>
    <row r="65" spans="2:2" x14ac:dyDescent="0.25">
      <c r="B65" t="s">
        <v>196</v>
      </c>
    </row>
    <row r="66" spans="2:2" x14ac:dyDescent="0.25">
      <c r="B66" t="s">
        <v>197</v>
      </c>
    </row>
    <row r="67" spans="2:2" x14ac:dyDescent="0.25">
      <c r="B67" t="s">
        <v>198</v>
      </c>
    </row>
    <row r="68" spans="2:2" x14ac:dyDescent="0.25">
      <c r="B68" t="s">
        <v>199</v>
      </c>
    </row>
    <row r="69" spans="2:2" x14ac:dyDescent="0.25">
      <c r="B69" t="s">
        <v>200</v>
      </c>
    </row>
    <row r="70" spans="2:2" x14ac:dyDescent="0.25">
      <c r="B70" t="s">
        <v>201</v>
      </c>
    </row>
    <row r="71" spans="2:2" x14ac:dyDescent="0.25">
      <c r="B71" t="s">
        <v>202</v>
      </c>
    </row>
    <row r="72" spans="2:2" x14ac:dyDescent="0.25">
      <c r="B72" t="s">
        <v>203</v>
      </c>
    </row>
    <row r="73" spans="2:2" x14ac:dyDescent="0.25">
      <c r="B73" t="s">
        <v>204</v>
      </c>
    </row>
    <row r="74" spans="2:2" x14ac:dyDescent="0.25">
      <c r="B74" t="s">
        <v>205</v>
      </c>
    </row>
    <row r="75" spans="2:2" x14ac:dyDescent="0.25">
      <c r="B75" t="s">
        <v>206</v>
      </c>
    </row>
    <row r="76" spans="2:2" x14ac:dyDescent="0.25">
      <c r="B76" t="s">
        <v>207</v>
      </c>
    </row>
    <row r="77" spans="2:2" x14ac:dyDescent="0.25">
      <c r="B77" t="s">
        <v>208</v>
      </c>
    </row>
    <row r="78" spans="2:2" x14ac:dyDescent="0.25">
      <c r="B78" t="s">
        <v>209</v>
      </c>
    </row>
    <row r="79" spans="2:2" x14ac:dyDescent="0.25">
      <c r="B79" t="s">
        <v>210</v>
      </c>
    </row>
    <row r="80" spans="2:2" x14ac:dyDescent="0.25">
      <c r="B80" t="s">
        <v>211</v>
      </c>
    </row>
    <row r="81" spans="2:2" x14ac:dyDescent="0.25">
      <c r="B81" t="s">
        <v>212</v>
      </c>
    </row>
    <row r="82" spans="2:2" x14ac:dyDescent="0.25">
      <c r="B82" t="s">
        <v>213</v>
      </c>
    </row>
    <row r="83" spans="2:2" x14ac:dyDescent="0.25">
      <c r="B83" t="s">
        <v>214</v>
      </c>
    </row>
    <row r="84" spans="2:2" x14ac:dyDescent="0.25">
      <c r="B84" t="s">
        <v>215</v>
      </c>
    </row>
    <row r="85" spans="2:2" x14ac:dyDescent="0.25">
      <c r="B85" t="s">
        <v>216</v>
      </c>
    </row>
    <row r="86" spans="2:2" x14ac:dyDescent="0.25">
      <c r="B86" t="s">
        <v>217</v>
      </c>
    </row>
    <row r="87" spans="2:2" x14ac:dyDescent="0.25">
      <c r="B87" t="s">
        <v>218</v>
      </c>
    </row>
    <row r="88" spans="2:2" x14ac:dyDescent="0.25">
      <c r="B88" t="s">
        <v>219</v>
      </c>
    </row>
    <row r="89" spans="2:2" x14ac:dyDescent="0.25">
      <c r="B89" t="s">
        <v>220</v>
      </c>
    </row>
    <row r="90" spans="2:2" x14ac:dyDescent="0.25">
      <c r="B90" t="s">
        <v>221</v>
      </c>
    </row>
    <row r="91" spans="2:2" x14ac:dyDescent="0.25">
      <c r="B91" t="s">
        <v>222</v>
      </c>
    </row>
    <row r="92" spans="2:2" x14ac:dyDescent="0.25">
      <c r="B92" t="s">
        <v>223</v>
      </c>
    </row>
    <row r="93" spans="2:2" x14ac:dyDescent="0.25">
      <c r="B93" t="s">
        <v>224</v>
      </c>
    </row>
    <row r="94" spans="2:2" x14ac:dyDescent="0.25">
      <c r="B94" t="s">
        <v>225</v>
      </c>
    </row>
    <row r="95" spans="2:2" x14ac:dyDescent="0.25">
      <c r="B95" t="s">
        <v>226</v>
      </c>
    </row>
    <row r="96" spans="2:2" x14ac:dyDescent="0.25">
      <c r="B96" t="s">
        <v>227</v>
      </c>
    </row>
    <row r="97" spans="2:2" x14ac:dyDescent="0.25">
      <c r="B97" t="s">
        <v>228</v>
      </c>
    </row>
    <row r="98" spans="2:2" x14ac:dyDescent="0.25">
      <c r="B98" t="s">
        <v>229</v>
      </c>
    </row>
    <row r="99" spans="2:2" x14ac:dyDescent="0.25">
      <c r="B99" t="s">
        <v>230</v>
      </c>
    </row>
    <row r="100" spans="2:2" x14ac:dyDescent="0.25">
      <c r="B100" t="s">
        <v>231</v>
      </c>
    </row>
    <row r="101" spans="2:2" x14ac:dyDescent="0.25">
      <c r="B101" t="s">
        <v>232</v>
      </c>
    </row>
    <row r="102" spans="2:2" x14ac:dyDescent="0.25">
      <c r="B102" t="s">
        <v>233</v>
      </c>
    </row>
    <row r="103" spans="2:2" x14ac:dyDescent="0.25">
      <c r="B103" t="s">
        <v>234</v>
      </c>
    </row>
    <row r="104" spans="2:2" x14ac:dyDescent="0.25">
      <c r="B104" t="s">
        <v>235</v>
      </c>
    </row>
    <row r="105" spans="2:2" x14ac:dyDescent="0.25">
      <c r="B105" t="s">
        <v>236</v>
      </c>
    </row>
    <row r="106" spans="2:2" x14ac:dyDescent="0.25">
      <c r="B106" t="s">
        <v>237</v>
      </c>
    </row>
    <row r="107" spans="2:2" x14ac:dyDescent="0.25">
      <c r="B107" t="s">
        <v>238</v>
      </c>
    </row>
    <row r="108" spans="2:2" x14ac:dyDescent="0.25">
      <c r="B108" t="s">
        <v>239</v>
      </c>
    </row>
    <row r="109" spans="2:2" x14ac:dyDescent="0.25">
      <c r="B109" t="s">
        <v>240</v>
      </c>
    </row>
    <row r="110" spans="2:2" x14ac:dyDescent="0.25">
      <c r="B110" t="s">
        <v>241</v>
      </c>
    </row>
    <row r="111" spans="2:2" x14ac:dyDescent="0.25">
      <c r="B111" t="s">
        <v>242</v>
      </c>
    </row>
    <row r="112" spans="2:2" x14ac:dyDescent="0.25">
      <c r="B112" t="s">
        <v>243</v>
      </c>
    </row>
  </sheetData>
  <mergeCells count="1">
    <mergeCell ref="H1:J1"/>
  </mergeCells>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C88A-005B-43BB-B676-63BF00BE2499}">
  <sheetPr codeName="Sayfa3"/>
  <dimension ref="A1"/>
  <sheetViews>
    <sheetView workbookViewId="0"/>
  </sheetViews>
  <sheetFormatPr defaultRowHeight="15" x14ac:dyDescent="0.25"/>
  <cols>
    <col min="1" max="16384" width="9.140625" style="79"/>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F4576-68E1-475C-B913-50A7AE125F8A}">
  <sheetPr codeName="Sayfa1">
    <tabColor theme="8" tint="-0.249977111117893"/>
    <pageSetUpPr fitToPage="1"/>
  </sheetPr>
  <dimension ref="B1:K227"/>
  <sheetViews>
    <sheetView showGridLines="0" zoomScale="130" zoomScaleNormal="130" zoomScaleSheetLayoutView="120" workbookViewId="0">
      <pane ySplit="5" topLeftCell="A6" activePane="bottomLeft" state="frozen"/>
      <selection pane="bottomLeft" activeCell="I18" sqref="I18"/>
    </sheetView>
  </sheetViews>
  <sheetFormatPr defaultRowHeight="15" x14ac:dyDescent="0.25"/>
  <cols>
    <col min="1" max="1" width="4.28515625" customWidth="1"/>
    <col min="2" max="2" width="13.28515625" customWidth="1"/>
    <col min="3" max="3" width="14.85546875" bestFit="1" customWidth="1"/>
    <col min="4" max="4" width="19.85546875" bestFit="1" customWidth="1"/>
    <col min="5" max="5" width="19.28515625" bestFit="1" customWidth="1"/>
    <col min="6" max="6" width="38" bestFit="1" customWidth="1"/>
    <col min="7" max="7" width="17.42578125" bestFit="1" customWidth="1"/>
    <col min="8" max="8" width="21.28515625" bestFit="1" customWidth="1"/>
    <col min="9" max="9" width="16.7109375" bestFit="1" customWidth="1"/>
    <col min="10" max="10" width="21" bestFit="1" customWidth="1"/>
    <col min="11" max="11" width="16.7109375" bestFit="1" customWidth="1"/>
  </cols>
  <sheetData>
    <row r="1" spans="2:11" ht="15.75" thickBot="1" x14ac:dyDescent="0.3"/>
    <row r="2" spans="2:11" ht="27" customHeight="1" thickBot="1" x14ac:dyDescent="0.3">
      <c r="B2" s="80" t="s">
        <v>353</v>
      </c>
      <c r="C2" s="85"/>
      <c r="E2" s="95" t="s">
        <v>368</v>
      </c>
      <c r="F2" s="96"/>
      <c r="G2" s="96"/>
      <c r="H2" s="96"/>
      <c r="I2" s="96"/>
      <c r="J2" s="96"/>
      <c r="K2" s="97"/>
    </row>
    <row r="5" spans="2:11" s="81" customFormat="1" x14ac:dyDescent="0.25">
      <c r="B5" s="81" t="s">
        <v>355</v>
      </c>
      <c r="C5" s="81" t="s">
        <v>356</v>
      </c>
      <c r="D5" s="81" t="s">
        <v>350</v>
      </c>
      <c r="E5" s="81" t="s">
        <v>357</v>
      </c>
      <c r="F5" s="81" t="s">
        <v>354</v>
      </c>
      <c r="G5" s="81" t="s">
        <v>351</v>
      </c>
      <c r="H5" s="81" t="s">
        <v>361</v>
      </c>
      <c r="I5" s="81" t="s">
        <v>352</v>
      </c>
      <c r="J5" s="81" t="s">
        <v>359</v>
      </c>
      <c r="K5" s="81" t="s">
        <v>367</v>
      </c>
    </row>
    <row r="6" spans="2:11" s="81" customFormat="1" x14ac:dyDescent="0.25">
      <c r="B6" s="82"/>
      <c r="C6" s="82"/>
      <c r="D6" s="83"/>
      <c r="E6" s="83"/>
      <c r="F6" s="86"/>
      <c r="G6" s="88"/>
      <c r="H6" s="88"/>
      <c r="I6" s="88"/>
      <c r="J6" s="84" t="s">
        <v>364</v>
      </c>
      <c r="K6" s="83"/>
    </row>
    <row r="7" spans="2:11" s="83" customFormat="1" x14ac:dyDescent="0.25">
      <c r="B7" s="82"/>
      <c r="C7" s="82"/>
      <c r="F7" s="86"/>
      <c r="G7" s="88"/>
      <c r="H7" s="88"/>
      <c r="I7" s="88"/>
      <c r="J7" s="84" t="s">
        <v>364</v>
      </c>
    </row>
    <row r="8" spans="2:11" s="83" customFormat="1" x14ac:dyDescent="0.25">
      <c r="B8" s="82"/>
      <c r="C8" s="82"/>
      <c r="F8" s="86"/>
      <c r="G8" s="88"/>
      <c r="H8" s="88"/>
      <c r="I8" s="88"/>
      <c r="J8" s="84" t="s">
        <v>365</v>
      </c>
    </row>
    <row r="9" spans="2:11" s="83" customFormat="1" x14ac:dyDescent="0.25">
      <c r="B9" s="82"/>
      <c r="C9" s="82"/>
      <c r="F9" s="86"/>
      <c r="G9" s="88"/>
      <c r="H9" s="88"/>
      <c r="I9" s="88"/>
      <c r="J9" s="84" t="s">
        <v>364</v>
      </c>
    </row>
    <row r="10" spans="2:11" s="83" customFormat="1" x14ac:dyDescent="0.25">
      <c r="B10" s="82"/>
      <c r="C10" s="82"/>
      <c r="F10" s="86"/>
      <c r="G10" s="88"/>
      <c r="H10" s="88"/>
      <c r="I10" s="88"/>
      <c r="J10" s="84" t="s">
        <v>365</v>
      </c>
    </row>
    <row r="11" spans="2:11" s="83" customFormat="1" x14ac:dyDescent="0.25">
      <c r="B11" s="82"/>
      <c r="C11" s="82"/>
      <c r="F11" s="86"/>
      <c r="G11" s="88"/>
      <c r="H11" s="88"/>
      <c r="I11" s="88"/>
      <c r="J11" s="84" t="s">
        <v>365</v>
      </c>
      <c r="K11" s="83" t="s">
        <v>371</v>
      </c>
    </row>
    <row r="12" spans="2:11" s="83" customFormat="1" x14ac:dyDescent="0.25">
      <c r="B12" s="82"/>
      <c r="C12" s="82"/>
      <c r="F12" s="86"/>
      <c r="G12" s="88"/>
      <c r="H12" s="88"/>
      <c r="I12" s="88"/>
      <c r="J12" s="84" t="s">
        <v>365</v>
      </c>
      <c r="K12" s="83" t="s">
        <v>371</v>
      </c>
    </row>
    <row r="13" spans="2:11" s="83" customFormat="1" x14ac:dyDescent="0.25">
      <c r="B13" s="82"/>
      <c r="C13" s="82"/>
      <c r="F13" s="86"/>
      <c r="G13" s="88"/>
      <c r="H13" s="88"/>
      <c r="I13" s="88"/>
      <c r="J13" s="84" t="s">
        <v>365</v>
      </c>
      <c r="K13" s="83" t="s">
        <v>316</v>
      </c>
    </row>
    <row r="14" spans="2:11" s="83" customFormat="1" x14ac:dyDescent="0.25">
      <c r="B14" s="82"/>
      <c r="C14" s="82"/>
      <c r="F14" s="86"/>
      <c r="G14" s="88"/>
      <c r="H14" s="88"/>
      <c r="I14" s="88"/>
      <c r="J14" s="84" t="s">
        <v>365</v>
      </c>
      <c r="K14" s="83" t="s">
        <v>371</v>
      </c>
    </row>
    <row r="15" spans="2:11" s="83" customFormat="1" x14ac:dyDescent="0.25">
      <c r="B15" s="82"/>
      <c r="C15" s="82"/>
      <c r="F15" s="86"/>
      <c r="G15" s="88"/>
      <c r="H15" s="88"/>
      <c r="I15" s="88"/>
      <c r="J15" s="84" t="s">
        <v>365</v>
      </c>
    </row>
    <row r="16" spans="2:11" s="83" customFormat="1" x14ac:dyDescent="0.25">
      <c r="B16" s="82"/>
      <c r="C16" s="82"/>
      <c r="F16" s="86"/>
      <c r="G16" s="88"/>
      <c r="H16" s="88"/>
      <c r="I16" s="88"/>
      <c r="J16" s="84" t="s">
        <v>365</v>
      </c>
    </row>
    <row r="17" spans="2:11" s="83" customFormat="1" x14ac:dyDescent="0.25">
      <c r="B17" s="82"/>
      <c r="C17" s="82"/>
      <c r="F17" s="86"/>
      <c r="G17" s="88"/>
      <c r="H17" s="88"/>
      <c r="I17" s="88"/>
      <c r="J17" s="84" t="s">
        <v>365</v>
      </c>
    </row>
    <row r="18" spans="2:11" x14ac:dyDescent="0.25">
      <c r="B18" s="82"/>
      <c r="C18" s="82"/>
      <c r="D18" s="83"/>
      <c r="E18" s="83"/>
      <c r="F18" s="86"/>
      <c r="G18" s="88"/>
      <c r="H18" s="88"/>
      <c r="I18" s="88"/>
      <c r="J18" s="84" t="s">
        <v>364</v>
      </c>
      <c r="K18" s="83"/>
    </row>
    <row r="19" spans="2:11" x14ac:dyDescent="0.25">
      <c r="B19" s="82"/>
      <c r="C19" s="82"/>
      <c r="D19" s="83"/>
      <c r="E19" s="83"/>
      <c r="F19" s="86"/>
      <c r="G19" s="88"/>
      <c r="H19" s="88"/>
      <c r="I19" s="88"/>
      <c r="J19" s="84" t="s">
        <v>365</v>
      </c>
      <c r="K19" s="83"/>
    </row>
    <row r="20" spans="2:11" x14ac:dyDescent="0.25">
      <c r="B20" s="82"/>
      <c r="C20" s="82"/>
      <c r="D20" s="83"/>
      <c r="E20" s="83"/>
      <c r="F20" s="86"/>
      <c r="G20" s="88"/>
      <c r="H20" s="88"/>
      <c r="I20" s="88"/>
      <c r="J20" s="84" t="s">
        <v>365</v>
      </c>
      <c r="K20" s="83"/>
    </row>
    <row r="21" spans="2:11" x14ac:dyDescent="0.25">
      <c r="B21" s="82"/>
      <c r="C21" s="82"/>
      <c r="D21" s="83"/>
      <c r="E21" s="83"/>
      <c r="F21" s="86"/>
      <c r="G21" s="88"/>
      <c r="H21" s="88"/>
      <c r="I21" s="88"/>
      <c r="J21" s="84"/>
      <c r="K21" s="83"/>
    </row>
    <row r="22" spans="2:11" x14ac:dyDescent="0.25">
      <c r="B22" s="82"/>
      <c r="C22" s="82"/>
      <c r="D22" s="83"/>
      <c r="E22" s="83"/>
      <c r="F22" s="86"/>
      <c r="G22" s="88"/>
      <c r="H22" s="88"/>
      <c r="I22" s="88"/>
      <c r="J22" s="84"/>
      <c r="K22" s="83"/>
    </row>
    <row r="23" spans="2:11" x14ac:dyDescent="0.25">
      <c r="B23" s="82"/>
      <c r="C23" s="82"/>
      <c r="D23" s="83"/>
      <c r="E23" s="83"/>
      <c r="F23" s="86"/>
      <c r="G23" s="88"/>
      <c r="H23" s="88"/>
      <c r="I23" s="88"/>
      <c r="J23" s="84"/>
      <c r="K23" s="83"/>
    </row>
    <row r="24" spans="2:11" x14ac:dyDescent="0.25">
      <c r="B24" s="82"/>
      <c r="C24" s="82"/>
      <c r="D24" s="83"/>
      <c r="E24" s="83"/>
      <c r="F24" s="86"/>
      <c r="G24" s="88"/>
      <c r="H24" s="88"/>
      <c r="I24" s="88"/>
      <c r="J24" s="84"/>
      <c r="K24" s="83"/>
    </row>
    <row r="25" spans="2:11" x14ac:dyDescent="0.25">
      <c r="B25" s="82"/>
      <c r="C25" s="82"/>
      <c r="D25" s="83"/>
      <c r="E25" s="83"/>
      <c r="F25" s="86"/>
      <c r="G25" s="88"/>
      <c r="H25" s="88"/>
      <c r="I25" s="88"/>
      <c r="J25" s="84"/>
      <c r="K25" s="83"/>
    </row>
    <row r="26" spans="2:11" x14ac:dyDescent="0.25">
      <c r="B26" s="82"/>
      <c r="C26" s="82"/>
      <c r="D26" s="83"/>
      <c r="E26" s="83"/>
      <c r="F26" s="86"/>
      <c r="G26" s="88"/>
      <c r="H26" s="88"/>
      <c r="I26" s="88"/>
      <c r="J26" s="84"/>
      <c r="K26" s="83"/>
    </row>
    <row r="27" spans="2:11" x14ac:dyDescent="0.25">
      <c r="B27" s="82"/>
      <c r="C27" s="82"/>
      <c r="D27" s="83"/>
      <c r="E27" s="83"/>
      <c r="F27" s="86"/>
      <c r="G27" s="88"/>
      <c r="H27" s="88"/>
      <c r="I27" s="88"/>
      <c r="J27" s="84"/>
      <c r="K27" s="83"/>
    </row>
    <row r="28" spans="2:11" x14ac:dyDescent="0.25">
      <c r="B28" s="82"/>
      <c r="C28" s="82"/>
      <c r="D28" s="83"/>
      <c r="E28" s="83"/>
      <c r="F28" s="86"/>
      <c r="G28" s="88"/>
      <c r="H28" s="88"/>
      <c r="I28" s="88"/>
      <c r="J28" s="84"/>
      <c r="K28" s="83"/>
    </row>
    <row r="29" spans="2:11" x14ac:dyDescent="0.25">
      <c r="B29" s="82"/>
      <c r="C29" s="82"/>
      <c r="D29" s="83"/>
      <c r="E29" s="83"/>
      <c r="F29" s="86"/>
      <c r="G29" s="88"/>
      <c r="H29" s="88"/>
      <c r="I29" s="88"/>
      <c r="J29" s="84"/>
      <c r="K29" s="83"/>
    </row>
    <row r="30" spans="2:11" x14ac:dyDescent="0.25">
      <c r="B30" s="82"/>
      <c r="C30" s="82"/>
      <c r="D30" s="83"/>
      <c r="E30" s="83"/>
      <c r="F30" s="86"/>
      <c r="G30" s="88"/>
      <c r="H30" s="88"/>
      <c r="I30" s="88"/>
      <c r="J30" s="84"/>
      <c r="K30" s="83"/>
    </row>
    <row r="31" spans="2:11" x14ac:dyDescent="0.25">
      <c r="B31" s="82"/>
      <c r="C31" s="82"/>
      <c r="D31" s="83"/>
      <c r="E31" s="83"/>
      <c r="F31" s="86"/>
      <c r="G31" s="88"/>
      <c r="H31" s="88"/>
      <c r="I31" s="88"/>
      <c r="J31" s="84"/>
      <c r="K31" s="83"/>
    </row>
    <row r="32" spans="2:11" x14ac:dyDescent="0.25">
      <c r="B32" s="82"/>
      <c r="C32" s="82"/>
      <c r="D32" s="83"/>
      <c r="E32" s="83"/>
      <c r="F32" s="86"/>
      <c r="G32" s="88"/>
      <c r="H32" s="88"/>
      <c r="I32" s="88"/>
      <c r="J32" s="84"/>
      <c r="K32" s="83"/>
    </row>
    <row r="33" spans="2:11" x14ac:dyDescent="0.25">
      <c r="B33" s="82"/>
      <c r="C33" s="82"/>
      <c r="D33" s="83"/>
      <c r="E33" s="83"/>
      <c r="F33" s="86"/>
      <c r="G33" s="88"/>
      <c r="H33" s="88"/>
      <c r="I33" s="88"/>
      <c r="J33" s="84"/>
      <c r="K33" s="83"/>
    </row>
    <row r="34" spans="2:11" x14ac:dyDescent="0.25">
      <c r="B34" s="82"/>
      <c r="C34" s="82"/>
      <c r="D34" s="83"/>
      <c r="E34" s="83"/>
      <c r="F34" s="86"/>
      <c r="G34" s="88"/>
      <c r="H34" s="88"/>
      <c r="I34" s="88"/>
      <c r="J34" s="84"/>
      <c r="K34" s="83"/>
    </row>
    <row r="35" spans="2:11" x14ac:dyDescent="0.25">
      <c r="B35" s="82"/>
      <c r="C35" s="82"/>
      <c r="D35" s="83"/>
      <c r="E35" s="83"/>
      <c r="F35" s="86"/>
      <c r="G35" s="88"/>
      <c r="H35" s="88"/>
      <c r="I35" s="88"/>
      <c r="J35" s="84"/>
      <c r="K35" s="83"/>
    </row>
    <row r="36" spans="2:11" x14ac:dyDescent="0.25">
      <c r="B36" s="82"/>
      <c r="C36" s="82"/>
      <c r="D36" s="83"/>
      <c r="E36" s="83"/>
      <c r="F36" s="86"/>
      <c r="G36" s="88"/>
      <c r="H36" s="88"/>
      <c r="I36" s="88"/>
      <c r="J36" s="84"/>
      <c r="K36" s="83"/>
    </row>
    <row r="37" spans="2:11" x14ac:dyDescent="0.25">
      <c r="B37" s="82"/>
      <c r="C37" s="82"/>
      <c r="D37" s="83"/>
      <c r="E37" s="83"/>
      <c r="F37" s="86"/>
      <c r="G37" s="88"/>
      <c r="H37" s="88"/>
      <c r="I37" s="88"/>
      <c r="J37" s="84"/>
      <c r="K37" s="83"/>
    </row>
    <row r="38" spans="2:11" x14ac:dyDescent="0.25">
      <c r="B38" s="82"/>
      <c r="C38" s="82"/>
      <c r="D38" s="83"/>
      <c r="E38" s="83"/>
      <c r="F38" s="86"/>
      <c r="G38" s="88"/>
      <c r="H38" s="88"/>
      <c r="I38" s="88"/>
      <c r="J38" s="84"/>
      <c r="K38" s="83"/>
    </row>
    <row r="39" spans="2:11" x14ac:dyDescent="0.25">
      <c r="B39" s="82"/>
      <c r="C39" s="82"/>
      <c r="D39" s="83"/>
      <c r="E39" s="83"/>
      <c r="F39" s="86"/>
      <c r="G39" s="88"/>
      <c r="H39" s="88"/>
      <c r="I39" s="88"/>
      <c r="J39" s="84"/>
      <c r="K39" s="83"/>
    </row>
    <row r="40" spans="2:11" x14ac:dyDescent="0.25">
      <c r="B40" s="82"/>
      <c r="C40" s="82"/>
      <c r="D40" s="83"/>
      <c r="E40" s="83"/>
      <c r="F40" s="86"/>
      <c r="G40" s="88"/>
      <c r="H40" s="88"/>
      <c r="I40" s="88"/>
      <c r="J40" s="84"/>
      <c r="K40" s="83"/>
    </row>
    <row r="41" spans="2:11" x14ac:dyDescent="0.25">
      <c r="B41" s="82"/>
      <c r="C41" s="82"/>
      <c r="D41" s="83"/>
      <c r="E41" s="83"/>
      <c r="F41" s="86"/>
      <c r="G41" s="88"/>
      <c r="H41" s="88"/>
      <c r="I41" s="88"/>
      <c r="J41" s="84"/>
      <c r="K41" s="83"/>
    </row>
    <row r="42" spans="2:11" ht="15.75" x14ac:dyDescent="0.25">
      <c r="B42" s="91"/>
      <c r="C42" s="89"/>
      <c r="D42" s="89"/>
      <c r="E42" s="89"/>
      <c r="F42" s="89"/>
      <c r="G42" s="92">
        <f>SUBTOTAL(109,Tablo43[Hizmet Tutarı])</f>
        <v>0</v>
      </c>
      <c r="H42" s="92">
        <f>SUBTOTAL(109,Tablo43[Vergi Oranı (KDV)])</f>
        <v>0</v>
      </c>
      <c r="I42" s="92">
        <f>SUBTOTAL(109,Tablo43[Fatura Tutarı])</f>
        <v>0</v>
      </c>
      <c r="J42" s="90"/>
      <c r="K42" s="93"/>
    </row>
    <row r="43" spans="2:11" x14ac:dyDescent="0.25">
      <c r="B43" s="82"/>
      <c r="C43" s="82"/>
      <c r="D43" s="83"/>
      <c r="E43" s="83"/>
      <c r="F43" s="86"/>
      <c r="G43" s="88"/>
      <c r="H43" s="88"/>
      <c r="I43" s="88"/>
      <c r="J43" s="84"/>
    </row>
    <row r="44" spans="2:11" x14ac:dyDescent="0.25">
      <c r="B44" s="82"/>
      <c r="C44" s="82"/>
      <c r="D44" s="83"/>
      <c r="E44" s="83"/>
      <c r="F44" s="86"/>
      <c r="G44" s="88"/>
      <c r="H44" s="88"/>
      <c r="I44" s="88"/>
      <c r="J44" s="84"/>
    </row>
    <row r="45" spans="2:11" x14ac:dyDescent="0.25">
      <c r="B45" s="82"/>
      <c r="C45" s="82"/>
      <c r="D45" s="83"/>
      <c r="E45" s="83"/>
      <c r="F45" s="86"/>
      <c r="G45" s="88"/>
      <c r="H45" s="88"/>
      <c r="I45" s="88"/>
      <c r="J45" s="84"/>
    </row>
    <row r="46" spans="2:11" x14ac:dyDescent="0.25">
      <c r="B46" s="82"/>
      <c r="C46" s="82"/>
      <c r="D46" s="83"/>
      <c r="E46" s="83"/>
      <c r="F46" s="86"/>
      <c r="G46" s="88"/>
      <c r="H46" s="88"/>
      <c r="I46" s="88"/>
      <c r="J46" s="84"/>
    </row>
    <row r="47" spans="2:11" x14ac:dyDescent="0.25">
      <c r="B47" s="82"/>
      <c r="C47" s="82"/>
      <c r="D47" s="83"/>
      <c r="E47" s="83"/>
      <c r="F47" s="86"/>
      <c r="G47" s="88"/>
      <c r="H47" s="88"/>
      <c r="I47" s="88"/>
      <c r="J47" s="84"/>
    </row>
    <row r="48" spans="2:11" x14ac:dyDescent="0.25">
      <c r="B48" s="82"/>
      <c r="C48" s="82"/>
      <c r="D48" s="83"/>
      <c r="E48" s="83"/>
      <c r="F48" s="86"/>
      <c r="G48" s="88"/>
      <c r="H48" s="88"/>
      <c r="I48" s="88"/>
      <c r="J48" s="84"/>
    </row>
    <row r="49" spans="2:10" x14ac:dyDescent="0.25">
      <c r="B49" s="82"/>
      <c r="C49" s="82"/>
      <c r="D49" s="83"/>
      <c r="E49" s="83"/>
      <c r="F49" s="86"/>
      <c r="G49" s="88"/>
      <c r="H49" s="88"/>
      <c r="I49" s="88"/>
      <c r="J49" s="84"/>
    </row>
    <row r="50" spans="2:10" x14ac:dyDescent="0.25">
      <c r="B50" s="82"/>
      <c r="C50" s="82"/>
      <c r="D50" s="83"/>
      <c r="E50" s="83"/>
      <c r="F50" s="86"/>
      <c r="G50" s="88"/>
      <c r="H50" s="88"/>
      <c r="I50" s="88"/>
      <c r="J50" s="84"/>
    </row>
    <row r="51" spans="2:10" x14ac:dyDescent="0.25">
      <c r="B51" s="82"/>
      <c r="C51" s="82"/>
      <c r="D51" s="83"/>
      <c r="E51" s="83"/>
      <c r="F51" s="86"/>
      <c r="G51" s="88"/>
      <c r="H51" s="88"/>
      <c r="I51" s="88"/>
      <c r="J51" s="84"/>
    </row>
    <row r="52" spans="2:10" x14ac:dyDescent="0.25">
      <c r="B52" s="82"/>
      <c r="C52" s="82"/>
      <c r="D52" s="83"/>
      <c r="E52" s="83"/>
      <c r="F52" s="86"/>
      <c r="G52" s="88"/>
      <c r="H52" s="88"/>
      <c r="I52" s="88"/>
      <c r="J52" s="84"/>
    </row>
    <row r="53" spans="2:10" x14ac:dyDescent="0.25">
      <c r="B53" s="82"/>
      <c r="C53" s="82"/>
      <c r="D53" s="83"/>
      <c r="E53" s="83"/>
      <c r="F53" s="86"/>
      <c r="G53" s="88"/>
      <c r="H53" s="88"/>
      <c r="I53" s="88"/>
      <c r="J53" s="84"/>
    </row>
    <row r="54" spans="2:10" x14ac:dyDescent="0.25">
      <c r="B54" s="82"/>
      <c r="C54" s="82"/>
      <c r="D54" s="83"/>
      <c r="E54" s="83"/>
      <c r="F54" s="86"/>
      <c r="G54" s="88"/>
      <c r="H54" s="88"/>
      <c r="I54" s="88"/>
      <c r="J54" s="84"/>
    </row>
    <row r="55" spans="2:10" x14ac:dyDescent="0.25">
      <c r="B55" s="82"/>
      <c r="C55" s="82"/>
      <c r="D55" s="83"/>
      <c r="E55" s="83"/>
      <c r="F55" s="86"/>
      <c r="G55" s="88"/>
      <c r="H55" s="88"/>
      <c r="I55" s="88"/>
      <c r="J55" s="84"/>
    </row>
    <row r="56" spans="2:10" x14ac:dyDescent="0.25">
      <c r="B56" s="82"/>
      <c r="C56" s="82"/>
      <c r="D56" s="83"/>
      <c r="E56" s="83"/>
      <c r="F56" s="86"/>
      <c r="G56" s="88"/>
      <c r="H56" s="88"/>
      <c r="I56" s="88"/>
      <c r="J56" s="84"/>
    </row>
    <row r="57" spans="2:10" x14ac:dyDescent="0.25">
      <c r="B57" s="82"/>
      <c r="C57" s="82"/>
      <c r="D57" s="83"/>
      <c r="E57" s="83"/>
      <c r="F57" s="86"/>
      <c r="G57" s="88"/>
      <c r="H57" s="88"/>
      <c r="I57" s="88"/>
      <c r="J57" s="84"/>
    </row>
    <row r="58" spans="2:10" x14ac:dyDescent="0.25">
      <c r="B58" s="82"/>
      <c r="C58" s="82"/>
      <c r="D58" s="83"/>
      <c r="E58" s="83"/>
      <c r="F58" s="86"/>
      <c r="G58" s="88"/>
      <c r="H58" s="88"/>
      <c r="I58" s="88"/>
      <c r="J58" s="84"/>
    </row>
    <row r="59" spans="2:10" x14ac:dyDescent="0.25">
      <c r="B59" s="82"/>
      <c r="C59" s="82"/>
      <c r="D59" s="83"/>
      <c r="E59" s="83"/>
      <c r="F59" s="86"/>
      <c r="G59" s="88"/>
      <c r="H59" s="88"/>
      <c r="I59" s="88"/>
      <c r="J59" s="84"/>
    </row>
    <row r="60" spans="2:10" x14ac:dyDescent="0.25">
      <c r="B60" s="82"/>
      <c r="C60" s="82"/>
      <c r="D60" s="83"/>
      <c r="E60" s="83"/>
      <c r="F60" s="86"/>
      <c r="G60" s="88"/>
      <c r="H60" s="88"/>
      <c r="I60" s="88"/>
      <c r="J60" s="84"/>
    </row>
    <row r="61" spans="2:10" x14ac:dyDescent="0.25">
      <c r="B61" s="82"/>
      <c r="C61" s="82"/>
      <c r="D61" s="83"/>
      <c r="E61" s="83"/>
      <c r="F61" s="86"/>
      <c r="G61" s="88"/>
      <c r="H61" s="88"/>
      <c r="I61" s="88"/>
      <c r="J61" s="84"/>
    </row>
    <row r="62" spans="2:10" x14ac:dyDescent="0.25">
      <c r="B62" s="82"/>
      <c r="C62" s="82"/>
      <c r="D62" s="83"/>
      <c r="E62" s="83"/>
      <c r="F62" s="86"/>
      <c r="G62" s="88"/>
      <c r="H62" s="88"/>
      <c r="I62" s="88"/>
      <c r="J62" s="84"/>
    </row>
    <row r="63" spans="2:10" x14ac:dyDescent="0.25">
      <c r="B63" s="82"/>
      <c r="C63" s="82"/>
      <c r="D63" s="83"/>
      <c r="E63" s="83"/>
      <c r="F63" s="86"/>
      <c r="G63" s="88"/>
      <c r="H63" s="88"/>
      <c r="I63" s="88"/>
      <c r="J63" s="84"/>
    </row>
    <row r="64" spans="2:10" x14ac:dyDescent="0.25">
      <c r="B64" s="82"/>
      <c r="C64" s="82"/>
      <c r="D64" s="83"/>
      <c r="E64" s="83"/>
      <c r="F64" s="86"/>
      <c r="G64" s="88"/>
      <c r="H64" s="88"/>
      <c r="I64" s="88"/>
      <c r="J64" s="84"/>
    </row>
    <row r="65" spans="2:10" x14ac:dyDescent="0.25">
      <c r="B65" s="82"/>
      <c r="C65" s="82"/>
      <c r="D65" s="83"/>
      <c r="E65" s="83"/>
      <c r="F65" s="86"/>
      <c r="G65" s="88"/>
      <c r="H65" s="88"/>
      <c r="I65" s="88"/>
      <c r="J65" s="84"/>
    </row>
    <row r="66" spans="2:10" x14ac:dyDescent="0.25">
      <c r="B66" s="82"/>
      <c r="C66" s="82"/>
      <c r="D66" s="83"/>
      <c r="E66" s="83"/>
      <c r="F66" s="86"/>
      <c r="G66" s="88"/>
      <c r="H66" s="88"/>
      <c r="I66" s="88"/>
      <c r="J66" s="84"/>
    </row>
    <row r="67" spans="2:10" x14ac:dyDescent="0.25">
      <c r="B67" s="82"/>
      <c r="C67" s="82"/>
      <c r="D67" s="83"/>
      <c r="E67" s="83"/>
      <c r="F67" s="86"/>
      <c r="G67" s="88"/>
      <c r="H67" s="88"/>
      <c r="I67" s="88"/>
      <c r="J67" s="84"/>
    </row>
    <row r="68" spans="2:10" x14ac:dyDescent="0.25">
      <c r="B68" s="82"/>
      <c r="C68" s="82"/>
      <c r="D68" s="83"/>
      <c r="E68" s="83"/>
      <c r="F68" s="86"/>
      <c r="G68" s="88"/>
      <c r="H68" s="88"/>
      <c r="I68" s="88"/>
      <c r="J68" s="84"/>
    </row>
    <row r="69" spans="2:10" x14ac:dyDescent="0.25">
      <c r="B69" s="82"/>
      <c r="C69" s="82"/>
      <c r="D69" s="83"/>
      <c r="E69" s="83"/>
      <c r="F69" s="86"/>
      <c r="G69" s="88"/>
      <c r="H69" s="88"/>
      <c r="I69" s="88"/>
      <c r="J69" s="84"/>
    </row>
    <row r="70" spans="2:10" x14ac:dyDescent="0.25">
      <c r="B70" s="82"/>
      <c r="C70" s="82"/>
      <c r="D70" s="83"/>
      <c r="E70" s="83"/>
      <c r="F70" s="86"/>
      <c r="G70" s="88"/>
      <c r="H70" s="88"/>
      <c r="I70" s="88"/>
      <c r="J70" s="84"/>
    </row>
    <row r="71" spans="2:10" x14ac:dyDescent="0.25">
      <c r="B71" s="82"/>
      <c r="C71" s="82"/>
      <c r="D71" s="83"/>
      <c r="E71" s="83"/>
      <c r="F71" s="86"/>
      <c r="G71" s="88"/>
      <c r="H71" s="88"/>
      <c r="I71" s="88"/>
      <c r="J71" s="84"/>
    </row>
    <row r="72" spans="2:10" x14ac:dyDescent="0.25">
      <c r="B72" s="82"/>
      <c r="C72" s="82"/>
      <c r="D72" s="83"/>
      <c r="E72" s="83"/>
      <c r="F72" s="86"/>
      <c r="G72" s="88"/>
      <c r="H72" s="88"/>
      <c r="I72" s="88"/>
      <c r="J72" s="84"/>
    </row>
    <row r="73" spans="2:10" x14ac:dyDescent="0.25">
      <c r="B73" s="82"/>
      <c r="C73" s="82"/>
      <c r="D73" s="83"/>
      <c r="E73" s="83"/>
      <c r="F73" s="86"/>
      <c r="G73" s="88"/>
      <c r="H73" s="88"/>
      <c r="I73" s="88"/>
      <c r="J73" s="84"/>
    </row>
    <row r="74" spans="2:10" x14ac:dyDescent="0.25">
      <c r="B74" s="82"/>
      <c r="C74" s="82"/>
      <c r="D74" s="83"/>
      <c r="E74" s="83"/>
      <c r="F74" s="86"/>
      <c r="G74" s="88"/>
      <c r="H74" s="88"/>
      <c r="I74" s="88"/>
      <c r="J74" s="84"/>
    </row>
    <row r="75" spans="2:10" x14ac:dyDescent="0.25">
      <c r="B75" s="82"/>
      <c r="C75" s="82"/>
      <c r="D75" s="83"/>
      <c r="E75" s="83"/>
      <c r="F75" s="86"/>
      <c r="G75" s="88"/>
      <c r="H75" s="88"/>
      <c r="I75" s="88"/>
      <c r="J75" s="84"/>
    </row>
    <row r="76" spans="2:10" x14ac:dyDescent="0.25">
      <c r="B76" s="82"/>
      <c r="C76" s="82"/>
      <c r="D76" s="83"/>
      <c r="E76" s="83"/>
      <c r="F76" s="86"/>
      <c r="G76" s="88"/>
      <c r="H76" s="88"/>
      <c r="I76" s="88"/>
      <c r="J76" s="84"/>
    </row>
    <row r="77" spans="2:10" x14ac:dyDescent="0.25">
      <c r="B77" s="82"/>
      <c r="C77" s="82"/>
      <c r="D77" s="83"/>
      <c r="E77" s="83"/>
      <c r="F77" s="86"/>
      <c r="G77" s="88"/>
      <c r="H77" s="88"/>
      <c r="I77" s="88"/>
      <c r="J77" s="84"/>
    </row>
    <row r="78" spans="2:10" x14ac:dyDescent="0.25">
      <c r="B78" s="82"/>
      <c r="C78" s="82"/>
      <c r="D78" s="83"/>
      <c r="E78" s="83"/>
      <c r="F78" s="86"/>
      <c r="G78" s="88"/>
      <c r="H78" s="88"/>
      <c r="I78" s="88"/>
      <c r="J78" s="84"/>
    </row>
    <row r="79" spans="2:10" x14ac:dyDescent="0.25">
      <c r="B79" s="82"/>
      <c r="C79" s="82"/>
      <c r="D79" s="83"/>
      <c r="E79" s="83"/>
      <c r="F79" s="86"/>
      <c r="G79" s="88"/>
      <c r="H79" s="88"/>
      <c r="I79" s="88"/>
      <c r="J79" s="84"/>
    </row>
    <row r="80" spans="2:10" x14ac:dyDescent="0.25">
      <c r="B80" s="82"/>
      <c r="C80" s="82"/>
      <c r="D80" s="83"/>
      <c r="E80" s="83"/>
      <c r="F80" s="86"/>
      <c r="G80" s="88"/>
      <c r="H80" s="88"/>
      <c r="I80" s="88"/>
      <c r="J80" s="84"/>
    </row>
    <row r="81" spans="2:10" x14ac:dyDescent="0.25">
      <c r="B81" s="82"/>
      <c r="C81" s="82"/>
      <c r="D81" s="83"/>
      <c r="E81" s="83"/>
      <c r="F81" s="86"/>
      <c r="G81" s="88"/>
      <c r="H81" s="88"/>
      <c r="I81" s="88"/>
      <c r="J81" s="84"/>
    </row>
    <row r="82" spans="2:10" x14ac:dyDescent="0.25">
      <c r="B82" s="82"/>
      <c r="C82" s="82"/>
      <c r="D82" s="83"/>
      <c r="E82" s="83"/>
      <c r="F82" s="86"/>
      <c r="G82" s="88"/>
      <c r="H82" s="88"/>
      <c r="I82" s="88"/>
      <c r="J82" s="84"/>
    </row>
    <row r="83" spans="2:10" x14ac:dyDescent="0.25">
      <c r="B83" s="82"/>
      <c r="C83" s="82"/>
      <c r="D83" s="83"/>
      <c r="E83" s="83"/>
      <c r="F83" s="86"/>
      <c r="G83" s="88"/>
      <c r="H83" s="88"/>
      <c r="I83" s="88"/>
      <c r="J83" s="84"/>
    </row>
    <row r="84" spans="2:10" x14ac:dyDescent="0.25">
      <c r="B84" s="82"/>
      <c r="C84" s="82"/>
      <c r="D84" s="83"/>
      <c r="E84" s="83"/>
      <c r="F84" s="86"/>
      <c r="G84" s="88"/>
      <c r="H84" s="88"/>
      <c r="I84" s="88"/>
      <c r="J84" s="84"/>
    </row>
    <row r="85" spans="2:10" x14ac:dyDescent="0.25">
      <c r="B85" s="82"/>
      <c r="C85" s="82"/>
      <c r="D85" s="83"/>
      <c r="E85" s="83"/>
      <c r="F85" s="86"/>
      <c r="G85" s="88"/>
      <c r="H85" s="88"/>
      <c r="I85" s="88"/>
      <c r="J85" s="84"/>
    </row>
    <row r="86" spans="2:10" x14ac:dyDescent="0.25">
      <c r="B86" s="82"/>
      <c r="C86" s="82"/>
      <c r="D86" s="83"/>
      <c r="E86" s="83"/>
      <c r="F86" s="86"/>
      <c r="G86" s="88"/>
      <c r="H86" s="88"/>
      <c r="I86" s="88"/>
      <c r="J86" s="84"/>
    </row>
    <row r="87" spans="2:10" x14ac:dyDescent="0.25">
      <c r="B87" s="82"/>
      <c r="C87" s="82"/>
      <c r="D87" s="83"/>
      <c r="E87" s="83"/>
      <c r="F87" s="86"/>
      <c r="G87" s="88"/>
      <c r="H87" s="88"/>
      <c r="I87" s="88"/>
      <c r="J87" s="84"/>
    </row>
    <row r="88" spans="2:10" x14ac:dyDescent="0.25">
      <c r="B88" s="82"/>
      <c r="C88" s="82"/>
      <c r="D88" s="83"/>
      <c r="E88" s="83"/>
      <c r="F88" s="86"/>
      <c r="G88" s="88"/>
      <c r="H88" s="88"/>
      <c r="I88" s="88"/>
      <c r="J88" s="84"/>
    </row>
    <row r="89" spans="2:10" x14ac:dyDescent="0.25">
      <c r="B89" s="82"/>
      <c r="C89" s="82"/>
      <c r="D89" s="83"/>
      <c r="E89" s="83"/>
      <c r="F89" s="86"/>
      <c r="G89" s="88"/>
      <c r="H89" s="88"/>
      <c r="I89" s="88"/>
      <c r="J89" s="84"/>
    </row>
    <row r="90" spans="2:10" x14ac:dyDescent="0.25">
      <c r="B90" s="82"/>
      <c r="C90" s="82"/>
      <c r="D90" s="83"/>
      <c r="E90" s="83"/>
      <c r="F90" s="86"/>
      <c r="G90" s="88"/>
      <c r="H90" s="88"/>
      <c r="I90" s="88"/>
      <c r="J90" s="84"/>
    </row>
    <row r="91" spans="2:10" x14ac:dyDescent="0.25">
      <c r="B91" s="82"/>
      <c r="C91" s="82"/>
      <c r="D91" s="83"/>
      <c r="E91" s="83"/>
      <c r="F91" s="86"/>
      <c r="G91" s="88"/>
      <c r="H91" s="88"/>
      <c r="I91" s="88"/>
      <c r="J91" s="84"/>
    </row>
    <row r="92" spans="2:10" x14ac:dyDescent="0.25">
      <c r="B92" s="82"/>
      <c r="C92" s="82"/>
      <c r="D92" s="83"/>
      <c r="E92" s="83"/>
      <c r="F92" s="86"/>
      <c r="G92" s="88"/>
      <c r="H92" s="88"/>
      <c r="I92" s="88"/>
      <c r="J92" s="84"/>
    </row>
    <row r="93" spans="2:10" x14ac:dyDescent="0.25">
      <c r="B93" s="82"/>
      <c r="C93" s="82"/>
      <c r="D93" s="83"/>
      <c r="E93" s="83"/>
      <c r="F93" s="86"/>
      <c r="G93" s="88"/>
      <c r="H93" s="88"/>
      <c r="I93" s="88"/>
      <c r="J93" s="84"/>
    </row>
    <row r="94" spans="2:10" x14ac:dyDescent="0.25">
      <c r="B94" s="82"/>
      <c r="C94" s="82"/>
      <c r="D94" s="83"/>
      <c r="E94" s="83"/>
      <c r="F94" s="86"/>
      <c r="G94" s="88"/>
      <c r="H94" s="88"/>
      <c r="I94" s="88"/>
      <c r="J94" s="84"/>
    </row>
    <row r="95" spans="2:10" x14ac:dyDescent="0.25">
      <c r="B95" s="82"/>
      <c r="C95" s="82"/>
      <c r="D95" s="83"/>
      <c r="E95" s="83"/>
      <c r="F95" s="86"/>
      <c r="G95" s="88"/>
      <c r="H95" s="88"/>
      <c r="I95" s="88"/>
      <c r="J95" s="84"/>
    </row>
    <row r="96" spans="2:10" x14ac:dyDescent="0.25">
      <c r="B96" s="82"/>
      <c r="C96" s="82"/>
      <c r="D96" s="83"/>
      <c r="E96" s="83"/>
      <c r="F96" s="86"/>
      <c r="G96" s="88"/>
      <c r="H96" s="88"/>
      <c r="I96" s="88"/>
      <c r="J96" s="84"/>
    </row>
    <row r="97" spans="2:10" x14ac:dyDescent="0.25">
      <c r="B97" s="82"/>
      <c r="C97" s="82"/>
      <c r="D97" s="83"/>
      <c r="E97" s="83"/>
      <c r="F97" s="86"/>
      <c r="G97" s="88"/>
      <c r="H97" s="88"/>
      <c r="I97" s="88"/>
      <c r="J97" s="84"/>
    </row>
    <row r="98" spans="2:10" x14ac:dyDescent="0.25">
      <c r="B98" s="82"/>
      <c r="C98" s="82"/>
      <c r="D98" s="83"/>
      <c r="E98" s="83"/>
      <c r="F98" s="86"/>
      <c r="G98" s="88"/>
      <c r="H98" s="88"/>
      <c r="I98" s="88"/>
      <c r="J98" s="84"/>
    </row>
    <row r="99" spans="2:10" x14ac:dyDescent="0.25">
      <c r="B99" s="82"/>
      <c r="C99" s="82"/>
      <c r="D99" s="83"/>
      <c r="E99" s="83"/>
      <c r="F99" s="86"/>
      <c r="G99" s="88"/>
      <c r="H99" s="88"/>
      <c r="I99" s="88"/>
      <c r="J99" s="84"/>
    </row>
    <row r="100" spans="2:10" x14ac:dyDescent="0.25">
      <c r="B100" s="82"/>
      <c r="C100" s="82"/>
      <c r="D100" s="83"/>
      <c r="E100" s="83"/>
      <c r="F100" s="86"/>
      <c r="G100" s="88"/>
      <c r="H100" s="88"/>
      <c r="I100" s="88"/>
      <c r="J100" s="84"/>
    </row>
    <row r="101" spans="2:10" x14ac:dyDescent="0.25">
      <c r="B101" s="82"/>
      <c r="C101" s="82"/>
      <c r="D101" s="83"/>
      <c r="E101" s="83"/>
      <c r="F101" s="86"/>
      <c r="G101" s="88"/>
      <c r="H101" s="88"/>
      <c r="I101" s="88"/>
      <c r="J101" s="84"/>
    </row>
    <row r="102" spans="2:10" x14ac:dyDescent="0.25">
      <c r="B102" s="82"/>
      <c r="C102" s="82"/>
      <c r="D102" s="83"/>
      <c r="E102" s="83"/>
      <c r="F102" s="86"/>
      <c r="G102" s="88"/>
      <c r="H102" s="88"/>
      <c r="I102" s="88"/>
      <c r="J102" s="84"/>
    </row>
    <row r="103" spans="2:10" x14ac:dyDescent="0.25">
      <c r="B103" s="82"/>
      <c r="C103" s="82"/>
      <c r="D103" s="83"/>
      <c r="E103" s="83"/>
      <c r="F103" s="86"/>
      <c r="G103" s="88"/>
      <c r="H103" s="88"/>
      <c r="I103" s="88"/>
      <c r="J103" s="84"/>
    </row>
    <row r="104" spans="2:10" x14ac:dyDescent="0.25">
      <c r="B104" s="82"/>
      <c r="C104" s="82"/>
      <c r="D104" s="83"/>
      <c r="E104" s="83"/>
      <c r="F104" s="86"/>
      <c r="G104" s="88"/>
      <c r="H104" s="88"/>
      <c r="I104" s="88"/>
      <c r="J104" s="84"/>
    </row>
    <row r="105" spans="2:10" x14ac:dyDescent="0.25">
      <c r="B105" s="82"/>
      <c r="C105" s="82"/>
      <c r="D105" s="83"/>
      <c r="E105" s="83"/>
      <c r="F105" s="86"/>
      <c r="G105" s="88"/>
      <c r="H105" s="88"/>
      <c r="I105" s="88"/>
      <c r="J105" s="84"/>
    </row>
    <row r="106" spans="2:10" x14ac:dyDescent="0.25">
      <c r="B106" s="82"/>
      <c r="C106" s="82"/>
      <c r="D106" s="83"/>
      <c r="E106" s="83"/>
      <c r="F106" s="86"/>
      <c r="G106" s="88"/>
      <c r="H106" s="88"/>
      <c r="I106" s="88"/>
      <c r="J106" s="84"/>
    </row>
    <row r="107" spans="2:10" x14ac:dyDescent="0.25">
      <c r="B107" s="82"/>
      <c r="C107" s="82"/>
      <c r="D107" s="83"/>
      <c r="E107" s="83"/>
      <c r="F107" s="86"/>
      <c r="G107" s="88"/>
      <c r="H107" s="88"/>
      <c r="I107" s="88"/>
      <c r="J107" s="84"/>
    </row>
    <row r="108" spans="2:10" x14ac:dyDescent="0.25">
      <c r="B108" s="82"/>
      <c r="C108" s="82"/>
      <c r="D108" s="83"/>
      <c r="E108" s="83"/>
      <c r="F108" s="86"/>
      <c r="G108" s="88"/>
      <c r="H108" s="88"/>
      <c r="I108" s="88"/>
      <c r="J108" s="84"/>
    </row>
    <row r="109" spans="2:10" x14ac:dyDescent="0.25">
      <c r="B109" s="82"/>
      <c r="C109" s="82"/>
      <c r="D109" s="83"/>
      <c r="E109" s="83"/>
      <c r="F109" s="86"/>
      <c r="G109" s="88"/>
      <c r="H109" s="88"/>
      <c r="I109" s="88"/>
      <c r="J109" s="84"/>
    </row>
    <row r="110" spans="2:10" x14ac:dyDescent="0.25">
      <c r="B110" s="82"/>
      <c r="C110" s="82"/>
      <c r="D110" s="83"/>
      <c r="E110" s="83"/>
      <c r="F110" s="86"/>
      <c r="G110" s="88"/>
      <c r="H110" s="88"/>
      <c r="I110" s="88"/>
      <c r="J110" s="84"/>
    </row>
    <row r="111" spans="2:10" x14ac:dyDescent="0.25">
      <c r="B111" s="82"/>
      <c r="C111" s="82"/>
      <c r="D111" s="83"/>
      <c r="E111" s="83"/>
      <c r="F111" s="86"/>
      <c r="G111" s="88"/>
      <c r="H111" s="88"/>
      <c r="I111" s="88"/>
      <c r="J111" s="84"/>
    </row>
    <row r="112" spans="2:10" x14ac:dyDescent="0.25">
      <c r="B112" s="82"/>
      <c r="C112" s="82"/>
      <c r="D112" s="83"/>
      <c r="E112" s="83"/>
      <c r="F112" s="86"/>
      <c r="G112" s="88"/>
      <c r="H112" s="88"/>
      <c r="I112" s="88"/>
      <c r="J112" s="84"/>
    </row>
    <row r="113" spans="2:10" x14ac:dyDescent="0.25">
      <c r="B113" s="82"/>
      <c r="C113" s="82"/>
      <c r="D113" s="83"/>
      <c r="E113" s="83"/>
      <c r="F113" s="86"/>
      <c r="G113" s="88"/>
      <c r="H113" s="88"/>
      <c r="I113" s="88"/>
      <c r="J113" s="84"/>
    </row>
    <row r="114" spans="2:10" x14ac:dyDescent="0.25">
      <c r="B114" s="82"/>
      <c r="C114" s="82"/>
      <c r="D114" s="83"/>
      <c r="E114" s="83"/>
      <c r="F114" s="86"/>
      <c r="G114" s="88"/>
      <c r="H114" s="88"/>
      <c r="I114" s="88"/>
      <c r="J114" s="84"/>
    </row>
    <row r="115" spans="2:10" x14ac:dyDescent="0.25">
      <c r="B115" s="82"/>
      <c r="C115" s="82"/>
      <c r="D115" s="83"/>
      <c r="E115" s="83"/>
      <c r="F115" s="86"/>
      <c r="G115" s="88"/>
      <c r="H115" s="88"/>
      <c r="I115" s="88"/>
      <c r="J115" s="84"/>
    </row>
    <row r="116" spans="2:10" x14ac:dyDescent="0.25">
      <c r="B116" s="82"/>
      <c r="C116" s="82"/>
      <c r="D116" s="83"/>
      <c r="E116" s="83"/>
      <c r="F116" s="86"/>
      <c r="G116" s="88"/>
      <c r="H116" s="88"/>
      <c r="I116" s="88"/>
      <c r="J116" s="84"/>
    </row>
    <row r="117" spans="2:10" x14ac:dyDescent="0.25">
      <c r="B117" s="82"/>
      <c r="C117" s="82"/>
      <c r="D117" s="83"/>
      <c r="E117" s="83"/>
      <c r="F117" s="86"/>
      <c r="G117" s="88"/>
      <c r="H117" s="88"/>
      <c r="I117" s="88"/>
      <c r="J117" s="84"/>
    </row>
    <row r="118" spans="2:10" x14ac:dyDescent="0.25">
      <c r="B118" s="82"/>
      <c r="C118" s="82"/>
      <c r="D118" s="83"/>
      <c r="E118" s="83"/>
      <c r="F118" s="86"/>
      <c r="G118" s="88"/>
      <c r="H118" s="88"/>
      <c r="I118" s="88"/>
      <c r="J118" s="84"/>
    </row>
    <row r="119" spans="2:10" x14ac:dyDescent="0.25">
      <c r="B119" s="82"/>
      <c r="C119" s="82"/>
      <c r="D119" s="83"/>
      <c r="E119" s="83"/>
      <c r="F119" s="86"/>
      <c r="G119" s="88"/>
      <c r="H119" s="88"/>
      <c r="I119" s="88"/>
      <c r="J119" s="84"/>
    </row>
    <row r="120" spans="2:10" x14ac:dyDescent="0.25">
      <c r="B120" s="82"/>
      <c r="C120" s="82"/>
      <c r="D120" s="83"/>
      <c r="E120" s="83"/>
      <c r="F120" s="86"/>
      <c r="G120" s="88"/>
      <c r="H120" s="88"/>
      <c r="I120" s="88"/>
      <c r="J120" s="84"/>
    </row>
    <row r="121" spans="2:10" x14ac:dyDescent="0.25">
      <c r="B121" s="82"/>
      <c r="C121" s="82"/>
      <c r="D121" s="83"/>
      <c r="E121" s="83"/>
      <c r="F121" s="86"/>
      <c r="G121" s="88"/>
      <c r="H121" s="88"/>
      <c r="I121" s="88"/>
      <c r="J121" s="84"/>
    </row>
    <row r="122" spans="2:10" x14ac:dyDescent="0.25">
      <c r="B122" s="82"/>
      <c r="C122" s="82"/>
      <c r="D122" s="83"/>
      <c r="E122" s="83"/>
      <c r="F122" s="86"/>
      <c r="G122" s="88"/>
      <c r="H122" s="88"/>
      <c r="I122" s="88"/>
      <c r="J122" s="84"/>
    </row>
    <row r="123" spans="2:10" x14ac:dyDescent="0.25">
      <c r="B123" s="82"/>
      <c r="C123" s="82"/>
      <c r="D123" s="83"/>
      <c r="E123" s="83"/>
      <c r="F123" s="86"/>
      <c r="G123" s="88"/>
      <c r="H123" s="88"/>
      <c r="I123" s="88"/>
      <c r="J123" s="84"/>
    </row>
    <row r="124" spans="2:10" x14ac:dyDescent="0.25">
      <c r="B124" s="82"/>
      <c r="C124" s="82"/>
      <c r="D124" s="83"/>
      <c r="E124" s="83"/>
      <c r="F124" s="86"/>
      <c r="G124" s="88"/>
      <c r="H124" s="88"/>
      <c r="I124" s="88"/>
      <c r="J124" s="84"/>
    </row>
    <row r="125" spans="2:10" x14ac:dyDescent="0.25">
      <c r="B125" s="82"/>
      <c r="C125" s="82"/>
      <c r="D125" s="83"/>
      <c r="E125" s="83"/>
      <c r="F125" s="86"/>
      <c r="G125" s="88"/>
      <c r="H125" s="88"/>
      <c r="I125" s="88"/>
      <c r="J125" s="84"/>
    </row>
    <row r="126" spans="2:10" x14ac:dyDescent="0.25">
      <c r="B126" s="82"/>
      <c r="C126" s="82"/>
      <c r="D126" s="83"/>
      <c r="E126" s="83"/>
      <c r="F126" s="86"/>
      <c r="G126" s="88"/>
      <c r="H126" s="88"/>
      <c r="I126" s="88"/>
      <c r="J126" s="84"/>
    </row>
    <row r="127" spans="2:10" x14ac:dyDescent="0.25">
      <c r="B127" s="82"/>
      <c r="C127" s="82"/>
      <c r="D127" s="83"/>
      <c r="E127" s="83"/>
      <c r="F127" s="86"/>
      <c r="G127" s="88"/>
      <c r="H127" s="88"/>
      <c r="I127" s="88"/>
      <c r="J127" s="84"/>
    </row>
    <row r="128" spans="2:10" x14ac:dyDescent="0.25">
      <c r="B128" s="82"/>
      <c r="C128" s="82"/>
      <c r="D128" s="83"/>
      <c r="E128" s="83"/>
      <c r="F128" s="86"/>
      <c r="G128" s="88"/>
      <c r="H128" s="88"/>
      <c r="I128" s="88"/>
      <c r="J128" s="84"/>
    </row>
    <row r="129" spans="2:10" x14ac:dyDescent="0.25">
      <c r="B129" s="82"/>
      <c r="C129" s="82"/>
      <c r="D129" s="83"/>
      <c r="E129" s="83"/>
      <c r="F129" s="86"/>
      <c r="G129" s="88"/>
      <c r="H129" s="88"/>
      <c r="I129" s="88"/>
      <c r="J129" s="84"/>
    </row>
    <row r="130" spans="2:10" x14ac:dyDescent="0.25">
      <c r="B130" s="82"/>
      <c r="C130" s="82"/>
      <c r="D130" s="83"/>
      <c r="E130" s="83"/>
      <c r="F130" s="86"/>
      <c r="G130" s="88"/>
      <c r="H130" s="88"/>
      <c r="I130" s="88"/>
      <c r="J130" s="84"/>
    </row>
    <row r="131" spans="2:10" x14ac:dyDescent="0.25">
      <c r="B131" s="82"/>
      <c r="C131" s="82"/>
      <c r="D131" s="83"/>
      <c r="E131" s="83"/>
      <c r="F131" s="86"/>
      <c r="G131" s="88"/>
      <c r="H131" s="88"/>
      <c r="I131" s="88"/>
      <c r="J131" s="84"/>
    </row>
    <row r="132" spans="2:10" x14ac:dyDescent="0.25">
      <c r="B132" s="82"/>
      <c r="C132" s="82"/>
      <c r="D132" s="83"/>
      <c r="E132" s="83"/>
      <c r="F132" s="86"/>
      <c r="G132" s="88"/>
      <c r="H132" s="88"/>
      <c r="I132" s="88"/>
      <c r="J132" s="84"/>
    </row>
    <row r="133" spans="2:10" x14ac:dyDescent="0.25">
      <c r="B133" s="82"/>
      <c r="C133" s="82"/>
      <c r="D133" s="83"/>
      <c r="E133" s="83"/>
      <c r="F133" s="86"/>
      <c r="G133" s="88"/>
      <c r="H133" s="88"/>
      <c r="I133" s="88"/>
      <c r="J133" s="84"/>
    </row>
    <row r="134" spans="2:10" x14ac:dyDescent="0.25">
      <c r="B134" s="82"/>
      <c r="C134" s="82"/>
      <c r="D134" s="83"/>
      <c r="E134" s="83"/>
      <c r="F134" s="86"/>
      <c r="G134" s="88"/>
      <c r="H134" s="88"/>
      <c r="I134" s="88"/>
      <c r="J134" s="84"/>
    </row>
    <row r="135" spans="2:10" x14ac:dyDescent="0.25">
      <c r="B135" s="82"/>
      <c r="C135" s="82"/>
      <c r="D135" s="83"/>
      <c r="E135" s="83"/>
      <c r="F135" s="86"/>
      <c r="G135" s="88"/>
      <c r="H135" s="88"/>
      <c r="I135" s="88"/>
      <c r="J135" s="84"/>
    </row>
    <row r="136" spans="2:10" x14ac:dyDescent="0.25">
      <c r="B136" s="82"/>
      <c r="C136" s="82"/>
      <c r="D136" s="83"/>
      <c r="E136" s="83"/>
      <c r="F136" s="86"/>
      <c r="G136" s="88"/>
      <c r="H136" s="88"/>
      <c r="I136" s="88"/>
      <c r="J136" s="84"/>
    </row>
    <row r="137" spans="2:10" x14ac:dyDescent="0.25">
      <c r="B137" s="82"/>
      <c r="C137" s="82"/>
      <c r="D137" s="83"/>
      <c r="E137" s="83"/>
      <c r="F137" s="86"/>
      <c r="G137" s="88"/>
      <c r="H137" s="88"/>
      <c r="I137" s="88"/>
      <c r="J137" s="84"/>
    </row>
    <row r="138" spans="2:10" x14ac:dyDescent="0.25">
      <c r="B138" s="82"/>
      <c r="C138" s="82"/>
      <c r="D138" s="83"/>
      <c r="E138" s="83"/>
      <c r="F138" s="86"/>
      <c r="G138" s="88"/>
      <c r="H138" s="88"/>
      <c r="I138" s="88"/>
      <c r="J138" s="84"/>
    </row>
    <row r="139" spans="2:10" x14ac:dyDescent="0.25">
      <c r="B139" s="82"/>
      <c r="C139" s="82"/>
      <c r="D139" s="83"/>
      <c r="E139" s="83"/>
      <c r="F139" s="86"/>
      <c r="G139" s="88"/>
      <c r="H139" s="88"/>
      <c r="I139" s="88"/>
      <c r="J139" s="84"/>
    </row>
    <row r="140" spans="2:10" x14ac:dyDescent="0.25">
      <c r="B140" s="82"/>
      <c r="C140" s="82"/>
      <c r="D140" s="83"/>
      <c r="E140" s="83"/>
      <c r="F140" s="86"/>
      <c r="G140" s="88"/>
      <c r="H140" s="88"/>
      <c r="I140" s="88"/>
      <c r="J140" s="84"/>
    </row>
    <row r="141" spans="2:10" x14ac:dyDescent="0.25">
      <c r="B141" s="82"/>
      <c r="C141" s="82"/>
      <c r="D141" s="83"/>
      <c r="E141" s="83"/>
      <c r="F141" s="86"/>
      <c r="G141" s="88"/>
      <c r="H141" s="88"/>
      <c r="I141" s="88"/>
      <c r="J141" s="84"/>
    </row>
    <row r="142" spans="2:10" x14ac:dyDescent="0.25">
      <c r="B142" s="82"/>
      <c r="C142" s="82"/>
      <c r="D142" s="83"/>
      <c r="E142" s="83"/>
      <c r="F142" s="86"/>
      <c r="G142" s="88"/>
      <c r="H142" s="88"/>
      <c r="I142" s="88"/>
      <c r="J142" s="84"/>
    </row>
    <row r="143" spans="2:10" x14ac:dyDescent="0.25">
      <c r="B143" s="82"/>
      <c r="C143" s="82"/>
      <c r="D143" s="83"/>
      <c r="E143" s="83"/>
      <c r="F143" s="86"/>
      <c r="G143" s="88"/>
      <c r="H143" s="88"/>
      <c r="I143" s="88"/>
      <c r="J143" s="84"/>
    </row>
    <row r="144" spans="2:10" x14ac:dyDescent="0.25">
      <c r="B144" s="82"/>
      <c r="C144" s="82"/>
      <c r="D144" s="83"/>
      <c r="E144" s="83"/>
      <c r="F144" s="86"/>
      <c r="G144" s="88"/>
      <c r="H144" s="88"/>
      <c r="I144" s="88"/>
      <c r="J144" s="84"/>
    </row>
    <row r="145" spans="2:10" x14ac:dyDescent="0.25">
      <c r="B145" s="82"/>
      <c r="C145" s="82"/>
      <c r="D145" s="83"/>
      <c r="E145" s="83"/>
      <c r="F145" s="86"/>
      <c r="G145" s="88"/>
      <c r="H145" s="88"/>
      <c r="I145" s="88"/>
      <c r="J145" s="84"/>
    </row>
    <row r="146" spans="2:10" x14ac:dyDescent="0.25">
      <c r="B146" s="82"/>
      <c r="C146" s="82"/>
      <c r="D146" s="83"/>
      <c r="E146" s="83"/>
      <c r="F146" s="86"/>
      <c r="G146" s="88"/>
      <c r="H146" s="88"/>
      <c r="I146" s="88"/>
      <c r="J146" s="84"/>
    </row>
    <row r="147" spans="2:10" x14ac:dyDescent="0.25">
      <c r="B147" s="82"/>
      <c r="C147" s="82"/>
      <c r="D147" s="83"/>
      <c r="E147" s="83"/>
      <c r="F147" s="86"/>
      <c r="G147" s="88"/>
      <c r="H147" s="88"/>
      <c r="I147" s="88"/>
      <c r="J147" s="84"/>
    </row>
    <row r="148" spans="2:10" x14ac:dyDescent="0.25">
      <c r="B148" s="82"/>
      <c r="C148" s="82"/>
      <c r="D148" s="83"/>
      <c r="E148" s="83"/>
      <c r="F148" s="86"/>
      <c r="G148" s="88"/>
      <c r="H148" s="88"/>
      <c r="I148" s="88"/>
      <c r="J148" s="84"/>
    </row>
    <row r="149" spans="2:10" x14ac:dyDescent="0.25">
      <c r="B149" s="82"/>
      <c r="C149" s="82"/>
      <c r="D149" s="83"/>
      <c r="E149" s="83"/>
      <c r="F149" s="86"/>
      <c r="G149" s="88"/>
      <c r="H149" s="88"/>
      <c r="I149" s="88"/>
      <c r="J149" s="84"/>
    </row>
    <row r="150" spans="2:10" x14ac:dyDescent="0.25">
      <c r="B150" s="82"/>
      <c r="C150" s="82"/>
      <c r="D150" s="83"/>
      <c r="E150" s="83"/>
      <c r="F150" s="86"/>
      <c r="G150" s="88"/>
      <c r="H150" s="88"/>
      <c r="I150" s="88"/>
      <c r="J150" s="84"/>
    </row>
    <row r="151" spans="2:10" x14ac:dyDescent="0.25">
      <c r="B151" s="82"/>
      <c r="C151" s="82"/>
      <c r="D151" s="83"/>
      <c r="E151" s="83"/>
      <c r="F151" s="86"/>
      <c r="G151" s="88"/>
      <c r="H151" s="88"/>
      <c r="I151" s="88"/>
      <c r="J151" s="84"/>
    </row>
    <row r="152" spans="2:10" x14ac:dyDescent="0.25">
      <c r="B152" s="82"/>
      <c r="C152" s="82"/>
      <c r="D152" s="83"/>
      <c r="E152" s="83"/>
      <c r="F152" s="86"/>
      <c r="G152" s="88"/>
      <c r="H152" s="88"/>
      <c r="I152" s="88"/>
      <c r="J152" s="84"/>
    </row>
    <row r="153" spans="2:10" x14ac:dyDescent="0.25">
      <c r="B153" s="82"/>
      <c r="C153" s="82"/>
      <c r="D153" s="83"/>
      <c r="E153" s="83"/>
      <c r="F153" s="86"/>
      <c r="G153" s="88"/>
      <c r="H153" s="88"/>
      <c r="I153" s="88"/>
      <c r="J153" s="84"/>
    </row>
    <row r="154" spans="2:10" x14ac:dyDescent="0.25">
      <c r="B154" s="82"/>
      <c r="C154" s="82"/>
      <c r="D154" s="83"/>
      <c r="E154" s="83"/>
      <c r="F154" s="86"/>
      <c r="G154" s="88"/>
      <c r="H154" s="88"/>
      <c r="I154" s="88"/>
      <c r="J154" s="84"/>
    </row>
    <row r="155" spans="2:10" x14ac:dyDescent="0.25">
      <c r="B155" s="82"/>
      <c r="C155" s="82"/>
      <c r="D155" s="83"/>
      <c r="E155" s="83"/>
      <c r="F155" s="86"/>
      <c r="G155" s="88"/>
      <c r="H155" s="88"/>
      <c r="I155" s="88"/>
      <c r="J155" s="84"/>
    </row>
    <row r="156" spans="2:10" x14ac:dyDescent="0.25">
      <c r="B156" s="82"/>
      <c r="C156" s="82"/>
      <c r="D156" s="83"/>
      <c r="E156" s="83"/>
      <c r="F156" s="86"/>
      <c r="G156" s="88"/>
      <c r="H156" s="88"/>
      <c r="I156" s="88"/>
      <c r="J156" s="84"/>
    </row>
    <row r="157" spans="2:10" x14ac:dyDescent="0.25">
      <c r="B157" s="82"/>
      <c r="C157" s="82"/>
      <c r="D157" s="83"/>
      <c r="E157" s="83"/>
      <c r="F157" s="86"/>
      <c r="G157" s="88"/>
      <c r="H157" s="88"/>
      <c r="I157" s="88"/>
      <c r="J157" s="84"/>
    </row>
    <row r="158" spans="2:10" x14ac:dyDescent="0.25">
      <c r="B158" s="82"/>
      <c r="C158" s="82"/>
      <c r="D158" s="83"/>
      <c r="E158" s="83"/>
      <c r="F158" s="86"/>
      <c r="G158" s="88"/>
      <c r="H158" s="88"/>
      <c r="I158" s="88"/>
      <c r="J158" s="84"/>
    </row>
    <row r="159" spans="2:10" x14ac:dyDescent="0.25">
      <c r="B159" s="82"/>
      <c r="C159" s="82"/>
      <c r="D159" s="83"/>
      <c r="E159" s="83"/>
      <c r="F159" s="86"/>
      <c r="G159" s="88"/>
      <c r="H159" s="88"/>
      <c r="I159" s="88"/>
      <c r="J159" s="84"/>
    </row>
    <row r="160" spans="2:10" x14ac:dyDescent="0.25">
      <c r="B160" s="82"/>
      <c r="C160" s="82"/>
      <c r="D160" s="83"/>
      <c r="E160" s="83"/>
      <c r="F160" s="86"/>
      <c r="G160" s="88"/>
      <c r="H160" s="88"/>
      <c r="I160" s="88"/>
      <c r="J160" s="84"/>
    </row>
    <row r="161" spans="2:10" x14ac:dyDescent="0.25">
      <c r="B161" s="82"/>
      <c r="C161" s="82"/>
      <c r="D161" s="83"/>
      <c r="E161" s="83"/>
      <c r="F161" s="86"/>
      <c r="G161" s="88"/>
      <c r="H161" s="88"/>
      <c r="I161" s="88"/>
      <c r="J161" s="84"/>
    </row>
    <row r="162" spans="2:10" x14ac:dyDescent="0.25">
      <c r="B162" s="82"/>
      <c r="C162" s="82"/>
      <c r="D162" s="83"/>
      <c r="E162" s="83"/>
      <c r="F162" s="86"/>
      <c r="G162" s="88"/>
      <c r="H162" s="88"/>
      <c r="I162" s="88"/>
      <c r="J162" s="84"/>
    </row>
    <row r="163" spans="2:10" x14ac:dyDescent="0.25">
      <c r="B163" s="82"/>
      <c r="C163" s="82"/>
      <c r="D163" s="83"/>
      <c r="E163" s="83"/>
      <c r="F163" s="86"/>
      <c r="G163" s="88"/>
      <c r="H163" s="88"/>
      <c r="I163" s="88"/>
      <c r="J163" s="84"/>
    </row>
    <row r="164" spans="2:10" x14ac:dyDescent="0.25">
      <c r="B164" s="82"/>
      <c r="C164" s="82"/>
      <c r="D164" s="83"/>
      <c r="E164" s="83"/>
      <c r="F164" s="86"/>
      <c r="G164" s="88"/>
      <c r="H164" s="88"/>
      <c r="I164" s="88"/>
      <c r="J164" s="84"/>
    </row>
    <row r="165" spans="2:10" x14ac:dyDescent="0.25">
      <c r="B165" s="82"/>
      <c r="C165" s="82"/>
      <c r="D165" s="83"/>
      <c r="E165" s="83"/>
      <c r="F165" s="86"/>
      <c r="G165" s="88"/>
      <c r="H165" s="88"/>
      <c r="I165" s="88"/>
      <c r="J165" s="84"/>
    </row>
    <row r="166" spans="2:10" x14ac:dyDescent="0.25">
      <c r="B166" s="82"/>
      <c r="C166" s="82"/>
      <c r="D166" s="83"/>
      <c r="E166" s="83"/>
      <c r="F166" s="86"/>
      <c r="G166" s="88"/>
      <c r="H166" s="88"/>
      <c r="I166" s="88"/>
      <c r="J166" s="84"/>
    </row>
    <row r="167" spans="2:10" x14ac:dyDescent="0.25">
      <c r="B167" s="82"/>
      <c r="C167" s="82"/>
      <c r="D167" s="83"/>
      <c r="E167" s="83"/>
      <c r="F167" s="86"/>
      <c r="G167" s="88"/>
      <c r="H167" s="88"/>
      <c r="I167" s="88"/>
      <c r="J167" s="84"/>
    </row>
    <row r="168" spans="2:10" x14ac:dyDescent="0.25">
      <c r="B168" s="82"/>
      <c r="C168" s="82"/>
      <c r="D168" s="83"/>
      <c r="E168" s="83"/>
      <c r="F168" s="86"/>
      <c r="G168" s="88"/>
      <c r="H168" s="88"/>
      <c r="I168" s="88"/>
      <c r="J168" s="84"/>
    </row>
    <row r="169" spans="2:10" x14ac:dyDescent="0.25">
      <c r="B169" s="82"/>
      <c r="C169" s="82"/>
      <c r="D169" s="83"/>
      <c r="E169" s="83"/>
      <c r="F169" s="86"/>
      <c r="G169" s="88"/>
      <c r="H169" s="88"/>
      <c r="I169" s="88"/>
      <c r="J169" s="84"/>
    </row>
    <row r="170" spans="2:10" x14ac:dyDescent="0.25">
      <c r="B170" s="82"/>
      <c r="C170" s="82"/>
      <c r="D170" s="83"/>
      <c r="E170" s="83"/>
      <c r="F170" s="86"/>
      <c r="G170" s="88"/>
      <c r="H170" s="88"/>
      <c r="I170" s="88"/>
      <c r="J170" s="84"/>
    </row>
    <row r="171" spans="2:10" x14ac:dyDescent="0.25">
      <c r="B171" s="82"/>
      <c r="C171" s="82"/>
      <c r="D171" s="83"/>
      <c r="E171" s="83"/>
      <c r="F171" s="86"/>
      <c r="G171" s="88"/>
      <c r="H171" s="88"/>
      <c r="I171" s="88"/>
      <c r="J171" s="84"/>
    </row>
    <row r="172" spans="2:10" x14ac:dyDescent="0.25">
      <c r="B172" s="82"/>
      <c r="C172" s="82"/>
      <c r="D172" s="83"/>
      <c r="E172" s="83"/>
      <c r="F172" s="86"/>
      <c r="G172" s="88"/>
      <c r="H172" s="88"/>
      <c r="I172" s="88"/>
      <c r="J172" s="84"/>
    </row>
    <row r="173" spans="2:10" x14ac:dyDescent="0.25">
      <c r="B173" s="82"/>
      <c r="C173" s="82"/>
      <c r="D173" s="83"/>
      <c r="E173" s="83"/>
      <c r="F173" s="86"/>
      <c r="G173" s="88"/>
      <c r="H173" s="88"/>
      <c r="I173" s="88"/>
      <c r="J173" s="84"/>
    </row>
    <row r="174" spans="2:10" x14ac:dyDescent="0.25">
      <c r="B174" s="82"/>
      <c r="C174" s="82"/>
      <c r="D174" s="83"/>
      <c r="E174" s="83"/>
      <c r="F174" s="86"/>
      <c r="G174" s="88"/>
      <c r="H174" s="88"/>
      <c r="I174" s="88"/>
      <c r="J174" s="84"/>
    </row>
    <row r="175" spans="2:10" x14ac:dyDescent="0.25">
      <c r="B175" s="82"/>
      <c r="C175" s="82"/>
      <c r="D175" s="83"/>
      <c r="E175" s="83"/>
      <c r="F175" s="86"/>
      <c r="G175" s="88"/>
      <c r="H175" s="88"/>
      <c r="I175" s="88"/>
      <c r="J175" s="84"/>
    </row>
    <row r="176" spans="2:10" x14ac:dyDescent="0.25">
      <c r="B176" s="82"/>
      <c r="C176" s="82"/>
      <c r="D176" s="83"/>
      <c r="E176" s="83"/>
      <c r="F176" s="86"/>
      <c r="G176" s="88"/>
      <c r="H176" s="88"/>
      <c r="I176" s="88"/>
      <c r="J176" s="84"/>
    </row>
    <row r="177" spans="2:10" x14ac:dyDescent="0.25">
      <c r="B177" s="82"/>
      <c r="C177" s="82"/>
      <c r="D177" s="83"/>
      <c r="E177" s="83"/>
      <c r="F177" s="86"/>
      <c r="G177" s="88"/>
      <c r="H177" s="88"/>
      <c r="I177" s="88"/>
      <c r="J177" s="84"/>
    </row>
    <row r="178" spans="2:10" x14ac:dyDescent="0.25">
      <c r="B178" s="82"/>
      <c r="C178" s="82"/>
      <c r="D178" s="83"/>
      <c r="E178" s="83"/>
      <c r="F178" s="86"/>
      <c r="G178" s="88"/>
      <c r="H178" s="88"/>
      <c r="I178" s="88"/>
      <c r="J178" s="84"/>
    </row>
    <row r="179" spans="2:10" x14ac:dyDescent="0.25">
      <c r="B179" s="82"/>
      <c r="C179" s="82"/>
      <c r="D179" s="83"/>
      <c r="E179" s="83"/>
      <c r="F179" s="86"/>
      <c r="G179" s="88"/>
      <c r="H179" s="88"/>
      <c r="I179" s="88"/>
      <c r="J179" s="84"/>
    </row>
    <row r="180" spans="2:10" x14ac:dyDescent="0.25">
      <c r="B180" s="82"/>
      <c r="C180" s="82"/>
      <c r="D180" s="83"/>
      <c r="E180" s="83"/>
      <c r="F180" s="86"/>
      <c r="G180" s="88"/>
      <c r="H180" s="88"/>
      <c r="I180" s="88"/>
      <c r="J180" s="84"/>
    </row>
    <row r="181" spans="2:10" x14ac:dyDescent="0.25">
      <c r="B181" s="82"/>
      <c r="C181" s="82"/>
      <c r="D181" s="83"/>
      <c r="E181" s="83"/>
      <c r="F181" s="86"/>
      <c r="G181" s="88"/>
      <c r="H181" s="88"/>
      <c r="I181" s="88"/>
      <c r="J181" s="84"/>
    </row>
    <row r="182" spans="2:10" x14ac:dyDescent="0.25">
      <c r="B182" s="82"/>
      <c r="C182" s="82"/>
      <c r="D182" s="83"/>
      <c r="E182" s="83"/>
      <c r="F182" s="86"/>
      <c r="G182" s="88"/>
      <c r="H182" s="88"/>
      <c r="I182" s="88"/>
      <c r="J182" s="84"/>
    </row>
    <row r="183" spans="2:10" x14ac:dyDescent="0.25">
      <c r="B183" s="82"/>
      <c r="C183" s="82"/>
      <c r="D183" s="83"/>
      <c r="E183" s="83"/>
      <c r="F183" s="86"/>
      <c r="G183" s="88"/>
      <c r="H183" s="88"/>
      <c r="I183" s="88"/>
      <c r="J183" s="84"/>
    </row>
    <row r="184" spans="2:10" x14ac:dyDescent="0.25">
      <c r="B184" s="82"/>
      <c r="C184" s="82"/>
      <c r="D184" s="83"/>
      <c r="E184" s="83"/>
      <c r="F184" s="86"/>
      <c r="G184" s="88"/>
      <c r="H184" s="88"/>
      <c r="I184" s="88"/>
      <c r="J184" s="84"/>
    </row>
    <row r="185" spans="2:10" x14ac:dyDescent="0.25">
      <c r="B185" s="82"/>
      <c r="C185" s="82"/>
      <c r="D185" s="83"/>
      <c r="E185" s="83"/>
      <c r="F185" s="86"/>
      <c r="G185" s="88"/>
      <c r="H185" s="88"/>
      <c r="I185" s="88"/>
      <c r="J185" s="84"/>
    </row>
    <row r="186" spans="2:10" x14ac:dyDescent="0.25">
      <c r="B186" s="82"/>
      <c r="C186" s="82"/>
      <c r="D186" s="83"/>
      <c r="E186" s="83"/>
      <c r="F186" s="86"/>
      <c r="G186" s="88"/>
      <c r="H186" s="88"/>
      <c r="I186" s="88"/>
      <c r="J186" s="84"/>
    </row>
    <row r="187" spans="2:10" x14ac:dyDescent="0.25">
      <c r="B187" s="82"/>
      <c r="C187" s="82"/>
      <c r="D187" s="83"/>
      <c r="E187" s="83"/>
      <c r="F187" s="86"/>
      <c r="G187" s="88"/>
      <c r="H187" s="88"/>
      <c r="I187" s="88"/>
      <c r="J187" s="84"/>
    </row>
    <row r="188" spans="2:10" x14ac:dyDescent="0.25">
      <c r="B188" s="82"/>
      <c r="C188" s="82"/>
      <c r="D188" s="83"/>
      <c r="E188" s="83"/>
      <c r="F188" s="86"/>
      <c r="G188" s="88"/>
      <c r="H188" s="88"/>
      <c r="I188" s="88"/>
      <c r="J188" s="84"/>
    </row>
    <row r="189" spans="2:10" x14ac:dyDescent="0.25">
      <c r="B189" s="82"/>
      <c r="C189" s="82"/>
      <c r="D189" s="83"/>
      <c r="E189" s="83"/>
      <c r="F189" s="86"/>
      <c r="G189" s="88"/>
      <c r="H189" s="88"/>
      <c r="I189" s="88"/>
      <c r="J189" s="84"/>
    </row>
    <row r="190" spans="2:10" x14ac:dyDescent="0.25">
      <c r="B190" s="82"/>
      <c r="C190" s="82"/>
      <c r="D190" s="83"/>
      <c r="E190" s="83"/>
      <c r="F190" s="86"/>
      <c r="G190" s="88"/>
      <c r="H190" s="88"/>
      <c r="I190" s="88"/>
      <c r="J190" s="84"/>
    </row>
    <row r="191" spans="2:10" x14ac:dyDescent="0.25">
      <c r="B191" s="82"/>
      <c r="C191" s="82"/>
      <c r="D191" s="83"/>
      <c r="E191" s="83"/>
      <c r="F191" s="86"/>
      <c r="G191" s="88"/>
      <c r="H191" s="88"/>
      <c r="I191" s="88"/>
      <c r="J191" s="84"/>
    </row>
    <row r="192" spans="2:10" x14ac:dyDescent="0.25">
      <c r="B192" s="82"/>
      <c r="C192" s="82"/>
      <c r="D192" s="83"/>
      <c r="E192" s="83"/>
      <c r="F192" s="86"/>
      <c r="G192" s="88"/>
      <c r="H192" s="88"/>
      <c r="I192" s="88"/>
      <c r="J192" s="84"/>
    </row>
    <row r="193" spans="2:10" x14ac:dyDescent="0.25">
      <c r="B193" s="82"/>
      <c r="C193" s="82"/>
      <c r="D193" s="83"/>
      <c r="E193" s="83"/>
      <c r="F193" s="86"/>
      <c r="G193" s="88"/>
      <c r="H193" s="88"/>
      <c r="I193" s="88"/>
      <c r="J193" s="84"/>
    </row>
    <row r="194" spans="2:10" x14ac:dyDescent="0.25">
      <c r="B194" s="82"/>
      <c r="C194" s="82"/>
      <c r="D194" s="83"/>
      <c r="E194" s="83"/>
      <c r="F194" s="86"/>
      <c r="G194" s="88"/>
      <c r="H194" s="88"/>
      <c r="I194" s="88"/>
      <c r="J194" s="84"/>
    </row>
    <row r="195" spans="2:10" x14ac:dyDescent="0.25">
      <c r="B195" s="82"/>
      <c r="C195" s="82"/>
      <c r="D195" s="83"/>
      <c r="E195" s="83"/>
      <c r="F195" s="86"/>
      <c r="G195" s="88"/>
      <c r="H195" s="88"/>
      <c r="I195" s="88"/>
      <c r="J195" s="84"/>
    </row>
    <row r="196" spans="2:10" x14ac:dyDescent="0.25">
      <c r="B196" s="82"/>
      <c r="C196" s="82"/>
      <c r="D196" s="83"/>
      <c r="E196" s="83"/>
      <c r="F196" s="86"/>
      <c r="G196" s="88"/>
      <c r="H196" s="88"/>
      <c r="I196" s="88"/>
      <c r="J196" s="84"/>
    </row>
    <row r="197" spans="2:10" x14ac:dyDescent="0.25">
      <c r="B197" s="82"/>
      <c r="C197" s="82"/>
      <c r="D197" s="83"/>
      <c r="E197" s="83"/>
      <c r="F197" s="86"/>
      <c r="G197" s="88"/>
      <c r="H197" s="88"/>
      <c r="I197" s="88"/>
      <c r="J197" s="84"/>
    </row>
    <row r="198" spans="2:10" x14ac:dyDescent="0.25">
      <c r="B198" s="82"/>
      <c r="C198" s="82"/>
      <c r="D198" s="83"/>
      <c r="E198" s="83"/>
      <c r="F198" s="86"/>
      <c r="G198" s="88"/>
      <c r="H198" s="88"/>
      <c r="I198" s="88"/>
      <c r="J198" s="84"/>
    </row>
    <row r="199" spans="2:10" x14ac:dyDescent="0.25">
      <c r="B199" s="82"/>
      <c r="C199" s="82"/>
      <c r="D199" s="83"/>
      <c r="E199" s="83"/>
      <c r="F199" s="86"/>
      <c r="G199" s="88"/>
      <c r="H199" s="88"/>
      <c r="I199" s="88"/>
      <c r="J199" s="84"/>
    </row>
    <row r="200" spans="2:10" x14ac:dyDescent="0.25">
      <c r="B200" s="82"/>
      <c r="C200" s="82"/>
      <c r="D200" s="83"/>
      <c r="E200" s="83"/>
      <c r="F200" s="86"/>
      <c r="G200" s="88"/>
      <c r="H200" s="88"/>
      <c r="I200" s="88"/>
      <c r="J200" s="84"/>
    </row>
    <row r="201" spans="2:10" x14ac:dyDescent="0.25">
      <c r="B201" s="82"/>
      <c r="C201" s="82"/>
      <c r="D201" s="83"/>
      <c r="E201" s="83"/>
      <c r="F201" s="86"/>
      <c r="G201" s="88"/>
      <c r="H201" s="88"/>
      <c r="I201" s="88"/>
      <c r="J201" s="84"/>
    </row>
    <row r="202" spans="2:10" x14ac:dyDescent="0.25">
      <c r="B202" s="82"/>
      <c r="C202" s="82"/>
      <c r="D202" s="83"/>
      <c r="E202" s="83"/>
      <c r="F202" s="86"/>
      <c r="G202" s="88"/>
      <c r="H202" s="88"/>
      <c r="I202" s="88"/>
      <c r="J202" s="84"/>
    </row>
    <row r="203" spans="2:10" x14ac:dyDescent="0.25">
      <c r="B203" s="82"/>
      <c r="C203" s="82"/>
      <c r="D203" s="83"/>
      <c r="E203" s="83"/>
      <c r="F203" s="86"/>
      <c r="G203" s="88"/>
      <c r="H203" s="88"/>
      <c r="I203" s="88"/>
      <c r="J203" s="84"/>
    </row>
    <row r="204" spans="2:10" x14ac:dyDescent="0.25">
      <c r="B204" s="82"/>
      <c r="C204" s="82"/>
      <c r="D204" s="83"/>
      <c r="E204" s="83"/>
      <c r="F204" s="86"/>
      <c r="G204" s="88"/>
      <c r="H204" s="88"/>
      <c r="I204" s="88"/>
      <c r="J204" s="84"/>
    </row>
    <row r="205" spans="2:10" x14ac:dyDescent="0.25">
      <c r="B205" s="82"/>
      <c r="C205" s="82"/>
      <c r="D205" s="83"/>
      <c r="E205" s="83"/>
      <c r="F205" s="86"/>
      <c r="G205" s="88"/>
      <c r="H205" s="88"/>
      <c r="I205" s="88"/>
      <c r="J205" s="84"/>
    </row>
    <row r="206" spans="2:10" x14ac:dyDescent="0.25">
      <c r="B206" s="82"/>
      <c r="C206" s="82"/>
      <c r="D206" s="83"/>
      <c r="E206" s="83"/>
      <c r="F206" s="86"/>
      <c r="G206" s="88"/>
      <c r="H206" s="88"/>
      <c r="I206" s="88"/>
      <c r="J206" s="84"/>
    </row>
    <row r="207" spans="2:10" x14ac:dyDescent="0.25">
      <c r="B207" s="82"/>
      <c r="C207" s="82"/>
      <c r="D207" s="83"/>
      <c r="E207" s="83"/>
      <c r="F207" s="86"/>
      <c r="G207" s="88"/>
      <c r="H207" s="88"/>
      <c r="I207" s="88"/>
      <c r="J207" s="84"/>
    </row>
    <row r="208" spans="2:10" x14ac:dyDescent="0.25">
      <c r="B208" s="82"/>
      <c r="C208" s="82"/>
      <c r="D208" s="83"/>
      <c r="E208" s="83"/>
      <c r="F208" s="86"/>
      <c r="G208" s="88"/>
      <c r="H208" s="88"/>
      <c r="I208" s="88"/>
      <c r="J208" s="84"/>
    </row>
    <row r="209" spans="2:10" x14ac:dyDescent="0.25">
      <c r="B209" s="82"/>
      <c r="C209" s="82"/>
      <c r="D209" s="83"/>
      <c r="E209" s="83"/>
      <c r="F209" s="86"/>
      <c r="G209" s="88"/>
      <c r="H209" s="88"/>
      <c r="I209" s="88"/>
      <c r="J209" s="84"/>
    </row>
    <row r="210" spans="2:10" x14ac:dyDescent="0.25">
      <c r="B210" s="82"/>
      <c r="C210" s="82"/>
      <c r="D210" s="83"/>
      <c r="E210" s="83"/>
      <c r="F210" s="86"/>
      <c r="G210" s="88"/>
      <c r="H210" s="88"/>
      <c r="I210" s="88"/>
      <c r="J210" s="84"/>
    </row>
    <row r="211" spans="2:10" x14ac:dyDescent="0.25">
      <c r="B211" s="82"/>
      <c r="C211" s="82"/>
      <c r="D211" s="83"/>
      <c r="E211" s="83"/>
      <c r="F211" s="86"/>
      <c r="G211" s="88"/>
      <c r="H211" s="88"/>
      <c r="I211" s="88"/>
      <c r="J211" s="84"/>
    </row>
    <row r="212" spans="2:10" x14ac:dyDescent="0.25">
      <c r="B212" s="82"/>
      <c r="C212" s="82"/>
      <c r="D212" s="83"/>
      <c r="E212" s="83"/>
      <c r="F212" s="86"/>
      <c r="G212" s="88"/>
      <c r="H212" s="88"/>
      <c r="I212" s="88"/>
      <c r="J212" s="84"/>
    </row>
    <row r="213" spans="2:10" x14ac:dyDescent="0.25">
      <c r="B213" s="82"/>
      <c r="C213" s="82"/>
      <c r="D213" s="83"/>
      <c r="E213" s="83"/>
      <c r="F213" s="86"/>
      <c r="G213" s="88"/>
      <c r="H213" s="88"/>
      <c r="I213" s="88"/>
      <c r="J213" s="84"/>
    </row>
    <row r="214" spans="2:10" x14ac:dyDescent="0.25">
      <c r="B214" s="82"/>
      <c r="C214" s="82"/>
      <c r="D214" s="83"/>
      <c r="E214" s="83"/>
      <c r="F214" s="86"/>
      <c r="G214" s="88"/>
      <c r="H214" s="88"/>
      <c r="I214" s="88"/>
      <c r="J214" s="84"/>
    </row>
    <row r="215" spans="2:10" x14ac:dyDescent="0.25">
      <c r="B215" s="82"/>
      <c r="C215" s="82"/>
      <c r="D215" s="83"/>
      <c r="E215" s="83"/>
      <c r="F215" s="86"/>
      <c r="G215" s="88"/>
      <c r="H215" s="88"/>
      <c r="I215" s="88"/>
      <c r="J215" s="84"/>
    </row>
    <row r="216" spans="2:10" x14ac:dyDescent="0.25">
      <c r="B216" s="82"/>
      <c r="C216" s="82"/>
      <c r="D216" s="83"/>
      <c r="E216" s="83"/>
      <c r="F216" s="86"/>
      <c r="G216" s="88"/>
      <c r="H216" s="88"/>
      <c r="I216" s="88"/>
      <c r="J216" s="84"/>
    </row>
    <row r="217" spans="2:10" x14ac:dyDescent="0.25">
      <c r="B217" s="82"/>
      <c r="C217" s="82"/>
      <c r="D217" s="83"/>
      <c r="E217" s="83"/>
      <c r="F217" s="86"/>
      <c r="G217" s="88"/>
      <c r="H217" s="88"/>
      <c r="I217" s="88"/>
      <c r="J217" s="84"/>
    </row>
    <row r="218" spans="2:10" x14ac:dyDescent="0.25">
      <c r="B218" s="82"/>
      <c r="C218" s="82"/>
      <c r="D218" s="83"/>
      <c r="E218" s="83"/>
      <c r="F218" s="86"/>
      <c r="G218" s="88"/>
      <c r="H218" s="88"/>
      <c r="I218" s="88"/>
      <c r="J218" s="84"/>
    </row>
    <row r="219" spans="2:10" x14ac:dyDescent="0.25">
      <c r="B219" s="82"/>
      <c r="C219" s="82"/>
      <c r="D219" s="83"/>
      <c r="E219" s="83"/>
      <c r="F219" s="86"/>
      <c r="G219" s="88"/>
      <c r="H219" s="88"/>
      <c r="I219" s="88"/>
      <c r="J219" s="84"/>
    </row>
    <row r="220" spans="2:10" x14ac:dyDescent="0.25">
      <c r="B220" s="82"/>
      <c r="C220" s="82"/>
      <c r="D220" s="83"/>
      <c r="E220" s="83"/>
      <c r="F220" s="86"/>
      <c r="G220" s="88"/>
      <c r="H220" s="88"/>
      <c r="I220" s="88"/>
      <c r="J220" s="84"/>
    </row>
    <row r="221" spans="2:10" x14ac:dyDescent="0.25">
      <c r="B221" s="82"/>
      <c r="C221" s="82"/>
      <c r="D221" s="83"/>
      <c r="E221" s="83"/>
      <c r="F221" s="86"/>
      <c r="G221" s="88"/>
      <c r="H221" s="88"/>
      <c r="I221" s="88"/>
      <c r="J221" s="84"/>
    </row>
    <row r="222" spans="2:10" x14ac:dyDescent="0.25">
      <c r="B222" s="82"/>
      <c r="C222" s="82"/>
      <c r="D222" s="83"/>
      <c r="E222" s="83"/>
      <c r="F222" s="86"/>
      <c r="G222" s="88"/>
      <c r="H222" s="88"/>
      <c r="I222" s="88"/>
      <c r="J222" s="84"/>
    </row>
    <row r="223" spans="2:10" x14ac:dyDescent="0.25">
      <c r="B223" s="82"/>
      <c r="C223" s="82"/>
      <c r="D223" s="83"/>
      <c r="E223" s="83"/>
      <c r="F223" s="86"/>
      <c r="G223" s="88"/>
      <c r="H223" s="88"/>
      <c r="I223" s="88"/>
      <c r="J223" s="84"/>
    </row>
    <row r="224" spans="2:10" x14ac:dyDescent="0.25">
      <c r="B224" s="82"/>
      <c r="C224" s="82"/>
      <c r="D224" s="83"/>
      <c r="E224" s="83"/>
      <c r="F224" s="86"/>
      <c r="G224" s="88"/>
      <c r="H224" s="88"/>
      <c r="I224" s="88"/>
      <c r="J224" s="84"/>
    </row>
    <row r="225" spans="2:10" x14ac:dyDescent="0.25">
      <c r="B225" s="82"/>
      <c r="C225" s="82"/>
      <c r="D225" s="83"/>
      <c r="E225" s="83"/>
      <c r="F225" s="86"/>
      <c r="G225" s="88"/>
      <c r="H225" s="88"/>
      <c r="I225" s="88"/>
      <c r="J225" s="84"/>
    </row>
    <row r="226" spans="2:10" x14ac:dyDescent="0.25">
      <c r="B226" s="82"/>
      <c r="C226" s="82"/>
      <c r="D226" s="83"/>
      <c r="E226" s="83"/>
      <c r="F226" s="86"/>
      <c r="G226" s="88"/>
      <c r="H226" s="88"/>
      <c r="I226" s="88"/>
      <c r="J226" s="84"/>
    </row>
    <row r="227" spans="2:10" x14ac:dyDescent="0.25">
      <c r="B227" s="82"/>
      <c r="C227" s="82"/>
      <c r="D227" s="83"/>
      <c r="E227" s="83"/>
      <c r="F227" s="86"/>
      <c r="G227" s="88"/>
      <c r="H227" s="88"/>
      <c r="I227" s="88"/>
      <c r="J227" s="84"/>
    </row>
  </sheetData>
  <mergeCells count="1">
    <mergeCell ref="E2:K2"/>
  </mergeCells>
  <phoneticPr fontId="20" type="noConversion"/>
  <conditionalFormatting sqref="J1 J3:J41 J43:J1048576">
    <cfRule type="cellIs" dxfId="59" priority="1" operator="equal">
      <formula>"Fatura Kesilecek"</formula>
    </cfRule>
    <cfRule type="cellIs" dxfId="58" priority="2" operator="equal">
      <formula>"Ödeme Tamamlandı"</formula>
    </cfRule>
    <cfRule type="cellIs" dxfId="57" priority="3" operator="equal">
      <formula>"Ödeme Bekleniyor"</formula>
    </cfRule>
  </conditionalFormatting>
  <pageMargins left="0.7" right="0.7" top="0.75" bottom="0.75" header="0.3" footer="0.3"/>
  <pageSetup paperSize="9" scale="65"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27BC4AA2-DE96-4E84-94FA-77FA24A6D134}">
          <x14:formula1>
            <xm:f>DONE!$H$3:$H$5</xm:f>
          </x14:formula1>
          <xm:sqref>C6:C41</xm:sqref>
        </x14:dataValidation>
        <x14:dataValidation type="list" allowBlank="1" showInputMessage="1" showErrorMessage="1" xr:uid="{B0B4E156-ABBB-4D48-9D6F-2937AD41F62B}">
          <x14:formula1>
            <xm:f>DONE!$J$3:$J$5</xm:f>
          </x14:formula1>
          <xm:sqref>J6:J41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3D8C0-CBEA-48BB-957A-D9C9493C86FB}">
  <sheetPr codeName="Sayfa21">
    <tabColor rgb="FFC00000"/>
    <pageSetUpPr fitToPage="1"/>
  </sheetPr>
  <dimension ref="A1:AD138"/>
  <sheetViews>
    <sheetView zoomScale="90" zoomScaleNormal="90" zoomScaleSheetLayoutView="80" workbookViewId="0">
      <pane ySplit="2" topLeftCell="A3" activePane="bottomLeft" state="frozen"/>
      <selection pane="bottomLeft" sqref="A1:P1"/>
    </sheetView>
  </sheetViews>
  <sheetFormatPr defaultRowHeight="15" x14ac:dyDescent="0.25"/>
  <cols>
    <col min="1" max="1" width="27.5703125" style="3" customWidth="1"/>
    <col min="2" max="4" width="18.7109375" style="3" customWidth="1"/>
    <col min="5" max="12" width="18.7109375" style="3" hidden="1" customWidth="1"/>
    <col min="13" max="13" width="20.85546875" style="3" hidden="1" customWidth="1"/>
    <col min="14" max="14" width="22.42578125" style="3" bestFit="1" customWidth="1"/>
    <col min="15" max="15" width="23.28515625" style="3" bestFit="1" customWidth="1"/>
    <col min="16" max="16" width="27.140625" style="3" customWidth="1"/>
    <col min="17" max="19" width="15.7109375" style="3" customWidth="1"/>
    <col min="20" max="28" width="15.7109375" style="3" hidden="1" customWidth="1"/>
    <col min="29" max="29" width="30.140625" style="3" bestFit="1" customWidth="1"/>
    <col min="30" max="30" width="13.28515625" style="3" bestFit="1" customWidth="1"/>
    <col min="31" max="16384" width="9.140625" style="3"/>
  </cols>
  <sheetData>
    <row r="1" spans="1:30" ht="56.25" customHeight="1" x14ac:dyDescent="0.25">
      <c r="A1" s="101" t="s">
        <v>251</v>
      </c>
      <c r="B1" s="102"/>
      <c r="C1" s="102"/>
      <c r="D1" s="102"/>
      <c r="E1" s="102"/>
      <c r="F1" s="102"/>
      <c r="G1" s="102"/>
      <c r="H1" s="102"/>
      <c r="I1" s="102"/>
      <c r="J1" s="102"/>
      <c r="K1" s="102"/>
      <c r="L1" s="102"/>
      <c r="M1" s="102"/>
      <c r="N1" s="102"/>
      <c r="O1" s="102"/>
      <c r="P1" s="102"/>
      <c r="Q1" s="98" t="s">
        <v>68</v>
      </c>
      <c r="R1" s="99"/>
      <c r="S1" s="99"/>
      <c r="T1" s="99"/>
      <c r="U1" s="99"/>
      <c r="V1" s="99"/>
      <c r="W1" s="99"/>
      <c r="X1" s="99"/>
      <c r="Y1" s="99"/>
      <c r="Z1" s="99"/>
      <c r="AA1" s="99"/>
      <c r="AB1" s="100"/>
    </row>
    <row r="2" spans="1:30" ht="20.100000000000001" customHeight="1" x14ac:dyDescent="0.25">
      <c r="A2" s="15" t="s">
        <v>30</v>
      </c>
      <c r="B2" s="16">
        <v>46023</v>
      </c>
      <c r="C2" s="16">
        <v>46054</v>
      </c>
      <c r="D2" s="16">
        <v>46082</v>
      </c>
      <c r="E2" s="16">
        <v>46113</v>
      </c>
      <c r="F2" s="16">
        <v>46143</v>
      </c>
      <c r="G2" s="16">
        <v>46174</v>
      </c>
      <c r="H2" s="16">
        <v>46204</v>
      </c>
      <c r="I2" s="16">
        <v>46235</v>
      </c>
      <c r="J2" s="16">
        <v>46266</v>
      </c>
      <c r="K2" s="16">
        <v>46296</v>
      </c>
      <c r="L2" s="16">
        <v>46327</v>
      </c>
      <c r="M2" s="16">
        <v>46357</v>
      </c>
      <c r="N2" s="15" t="s">
        <v>65</v>
      </c>
      <c r="O2" s="15" t="s">
        <v>66</v>
      </c>
      <c r="P2" s="14" t="s">
        <v>67</v>
      </c>
      <c r="Q2" s="9">
        <v>45292</v>
      </c>
      <c r="R2" s="10">
        <v>45323</v>
      </c>
      <c r="S2" s="10">
        <v>45352</v>
      </c>
      <c r="T2" s="10">
        <v>45748</v>
      </c>
      <c r="U2" s="10">
        <v>45778</v>
      </c>
      <c r="V2" s="10">
        <v>45809</v>
      </c>
      <c r="W2" s="10">
        <v>45839</v>
      </c>
      <c r="X2" s="10">
        <v>45870</v>
      </c>
      <c r="Y2" s="10">
        <v>45901</v>
      </c>
      <c r="Z2" s="10">
        <v>45931</v>
      </c>
      <c r="AA2" s="10">
        <v>45962</v>
      </c>
      <c r="AB2" s="10">
        <v>45992</v>
      </c>
    </row>
    <row r="3" spans="1:30" ht="20.100000000000001" customHeight="1" x14ac:dyDescent="0.25">
      <c r="A3" s="17" t="s">
        <v>0</v>
      </c>
      <c r="B3" s="7">
        <f>+SUMIFS(Tablo1710612131618202224[SATIŞ TUTARI],Tablo1710612131618202224[TARİH],"&gt;=01/01/2026",Tablo1710612131618202224[TARİH],"&lt;=31/01/2026",Tablo1710612131618202224[MÜŞTERİ ADI],'GELİR İCMAL'!A3)</f>
        <v>0</v>
      </c>
      <c r="C3" s="7">
        <f>+SUMIFS(Tablo1710612131618202224[SATIŞ TUTARI],Tablo1710612131618202224[TARİH],"&gt;=01/02/2026",Tablo1710612131618202224[TARİH],"&lt;=28/02/2026",Tablo1710612131618202224[MÜŞTERİ ADI],'GELİR İCMAL'!A3)</f>
        <v>0</v>
      </c>
      <c r="D3" s="7"/>
      <c r="E3" s="7"/>
      <c r="F3" s="7"/>
      <c r="G3" s="7"/>
      <c r="H3" s="7"/>
      <c r="I3" s="7"/>
      <c r="J3" s="7"/>
      <c r="K3" s="7"/>
      <c r="L3" s="7"/>
      <c r="M3" s="7"/>
      <c r="N3" s="7">
        <f t="shared" ref="N3:N66" si="0">+SUM(B3:M3)</f>
        <v>0</v>
      </c>
      <c r="O3" s="7"/>
      <c r="P3" s="32">
        <f>+N3-O3</f>
        <v>0</v>
      </c>
      <c r="Q3" s="11"/>
      <c r="R3" s="12"/>
      <c r="S3" s="12"/>
      <c r="T3" s="12"/>
      <c r="U3" s="12"/>
      <c r="V3" s="12"/>
      <c r="W3" s="12"/>
      <c r="X3" s="12"/>
      <c r="Y3" s="12"/>
      <c r="Z3" s="12"/>
      <c r="AA3" s="12"/>
      <c r="AB3" s="12"/>
    </row>
    <row r="4" spans="1:30" ht="20.100000000000001" customHeight="1" x14ac:dyDescent="0.25">
      <c r="A4" s="17" t="s">
        <v>23</v>
      </c>
      <c r="B4" s="7">
        <f>+SUMIFS(Tablo1710612131618202224[SATIŞ TUTARI],Tablo1710612131618202224[TARİH],"&gt;=01/01/2026",Tablo1710612131618202224[TARİH],"&lt;=31/01/2026",Tablo1710612131618202224[MÜŞTERİ ADI],'GELİR İCMAL'!A4)</f>
        <v>0</v>
      </c>
      <c r="C4" s="7">
        <f>+SUMIFS(Tablo1710612131618202224[SATIŞ TUTARI],Tablo1710612131618202224[TARİH],"&gt;=01/02/2026",Tablo1710612131618202224[TARİH],"&lt;=28/02/2026",Tablo1710612131618202224[MÜŞTERİ ADI],'GELİR İCMAL'!A4)</f>
        <v>0</v>
      </c>
      <c r="D4" s="7"/>
      <c r="E4" s="7"/>
      <c r="F4" s="7"/>
      <c r="G4" s="7"/>
      <c r="H4" s="7"/>
      <c r="I4" s="7"/>
      <c r="J4" s="7"/>
      <c r="K4" s="7"/>
      <c r="L4" s="7"/>
      <c r="M4" s="7"/>
      <c r="N4" s="7">
        <f t="shared" si="0"/>
        <v>0</v>
      </c>
      <c r="O4" s="7"/>
      <c r="P4" s="32">
        <f t="shared" ref="P4:P67" si="1">+N4-O4</f>
        <v>0</v>
      </c>
      <c r="Q4" s="11"/>
      <c r="R4" s="12"/>
      <c r="S4" s="12"/>
      <c r="T4" s="12"/>
      <c r="U4" s="12"/>
      <c r="V4" s="12"/>
      <c r="W4" s="12"/>
      <c r="X4" s="12"/>
      <c r="Y4" s="12"/>
      <c r="Z4" s="12"/>
      <c r="AA4" s="12"/>
      <c r="AB4" s="12"/>
      <c r="AC4" s="3" t="s">
        <v>349</v>
      </c>
    </row>
    <row r="5" spans="1:30" ht="20.100000000000001" customHeight="1" x14ac:dyDescent="0.25">
      <c r="A5" s="17" t="s">
        <v>11</v>
      </c>
      <c r="B5" s="7">
        <f>+SUMIFS(Tablo1710612131618202224[SATIŞ TUTARI],Tablo1710612131618202224[TARİH],"&gt;=01/01/2026",Tablo1710612131618202224[TARİH],"&lt;=31/01/2026",Tablo1710612131618202224[MÜŞTERİ ADI],'GELİR İCMAL'!A5)</f>
        <v>0</v>
      </c>
      <c r="C5" s="7">
        <f>+SUMIFS(Tablo1710612131618202224[SATIŞ TUTARI],Tablo1710612131618202224[TARİH],"&gt;=01/02/2026",Tablo1710612131618202224[TARİH],"&lt;=28/02/2026",Tablo1710612131618202224[MÜŞTERİ ADI],'GELİR İCMAL'!A5)</f>
        <v>0</v>
      </c>
      <c r="D5" s="7"/>
      <c r="E5" s="7"/>
      <c r="F5" s="7"/>
      <c r="G5" s="7"/>
      <c r="H5" s="7"/>
      <c r="I5" s="7"/>
      <c r="J5" s="7"/>
      <c r="K5" s="7"/>
      <c r="L5" s="7"/>
      <c r="M5" s="7"/>
      <c r="N5" s="7">
        <f t="shared" si="0"/>
        <v>0</v>
      </c>
      <c r="O5" s="7"/>
      <c r="P5" s="32">
        <f t="shared" si="1"/>
        <v>0</v>
      </c>
      <c r="Q5" s="11"/>
      <c r="R5" s="12"/>
      <c r="S5" s="12"/>
      <c r="T5" s="12"/>
      <c r="U5" s="12"/>
      <c r="V5" s="12"/>
      <c r="W5" s="12"/>
      <c r="X5" s="12"/>
      <c r="Y5" s="12"/>
      <c r="Z5" s="12"/>
      <c r="AA5" s="12"/>
      <c r="AB5" s="12"/>
      <c r="AD5" s="43"/>
    </row>
    <row r="6" spans="1:30" ht="20.100000000000001" customHeight="1" x14ac:dyDescent="0.25">
      <c r="A6" s="17" t="s">
        <v>13</v>
      </c>
      <c r="B6" s="7">
        <f>+SUMIFS(Tablo1710612131618202224[SATIŞ TUTARI],Tablo1710612131618202224[TARİH],"&gt;=01/01/2026",Tablo1710612131618202224[TARİH],"&lt;=31/01/2026",Tablo1710612131618202224[MÜŞTERİ ADI],'GELİR İCMAL'!A6)</f>
        <v>0</v>
      </c>
      <c r="C6" s="7">
        <f>+SUMIFS(Tablo1710612131618202224[SATIŞ TUTARI],Tablo1710612131618202224[TARİH],"&gt;=01/02/2026",Tablo1710612131618202224[TARİH],"&lt;=28/02/2026",Tablo1710612131618202224[MÜŞTERİ ADI],'GELİR İCMAL'!A6)</f>
        <v>0</v>
      </c>
      <c r="D6" s="7"/>
      <c r="E6" s="7"/>
      <c r="F6" s="7"/>
      <c r="G6" s="7"/>
      <c r="H6" s="7"/>
      <c r="I6" s="7"/>
      <c r="J6" s="7"/>
      <c r="K6" s="7"/>
      <c r="L6" s="7"/>
      <c r="M6" s="7"/>
      <c r="N6" s="7">
        <f t="shared" si="0"/>
        <v>0</v>
      </c>
      <c r="O6" s="7"/>
      <c r="P6" s="32">
        <f t="shared" si="1"/>
        <v>0</v>
      </c>
      <c r="Q6" s="11"/>
      <c r="R6" s="12"/>
      <c r="S6" s="12"/>
      <c r="T6" s="12"/>
      <c r="U6" s="12"/>
      <c r="V6" s="12"/>
      <c r="W6" s="12"/>
      <c r="X6" s="12"/>
      <c r="Y6" s="12"/>
      <c r="Z6" s="12"/>
      <c r="AA6" s="12"/>
      <c r="AB6" s="12"/>
    </row>
    <row r="7" spans="1:30" ht="20.100000000000001" customHeight="1" x14ac:dyDescent="0.25">
      <c r="A7" s="17" t="s">
        <v>9</v>
      </c>
      <c r="B7" s="7">
        <f>+SUMIFS(Tablo1710612131618202224[SATIŞ TUTARI],Tablo1710612131618202224[TARİH],"&gt;=01/01/2026",Tablo1710612131618202224[TARİH],"&lt;=31/01/2026",Tablo1710612131618202224[MÜŞTERİ ADI],'GELİR İCMAL'!A7)</f>
        <v>0</v>
      </c>
      <c r="C7" s="7">
        <f>+SUMIFS(Tablo1710612131618202224[SATIŞ TUTARI],Tablo1710612131618202224[TARİH],"&gt;=01/02/2026",Tablo1710612131618202224[TARİH],"&lt;=28/02/2026",Tablo1710612131618202224[MÜŞTERİ ADI],'GELİR İCMAL'!A7)</f>
        <v>0</v>
      </c>
      <c r="D7" s="7"/>
      <c r="E7" s="7"/>
      <c r="F7" s="7"/>
      <c r="G7" s="7"/>
      <c r="H7" s="7"/>
      <c r="I7" s="7"/>
      <c r="J7" s="7"/>
      <c r="K7" s="7"/>
      <c r="L7" s="7"/>
      <c r="M7" s="7"/>
      <c r="N7" s="7">
        <f t="shared" si="0"/>
        <v>0</v>
      </c>
      <c r="O7" s="7"/>
      <c r="P7" s="32">
        <f t="shared" si="1"/>
        <v>0</v>
      </c>
      <c r="Q7" s="11"/>
      <c r="R7" s="12"/>
      <c r="S7" s="12"/>
      <c r="T7" s="12"/>
      <c r="U7" s="12"/>
      <c r="V7" s="12"/>
      <c r="W7" s="12"/>
      <c r="X7" s="12"/>
      <c r="Y7" s="12"/>
      <c r="Z7" s="12"/>
      <c r="AA7" s="12"/>
      <c r="AB7" s="12"/>
    </row>
    <row r="8" spans="1:30" ht="20.100000000000001" customHeight="1" x14ac:dyDescent="0.25">
      <c r="A8" s="17" t="s">
        <v>10</v>
      </c>
      <c r="B8" s="7">
        <f>+SUMIFS(Tablo1710612131618202224[SATIŞ TUTARI],Tablo1710612131618202224[TARİH],"&gt;=01/01/2026",Tablo1710612131618202224[TARİH],"&lt;=31/01/2026",Tablo1710612131618202224[MÜŞTERİ ADI],'GELİR İCMAL'!A8)</f>
        <v>0</v>
      </c>
      <c r="C8" s="7">
        <f>+SUMIFS(Tablo1710612131618202224[SATIŞ TUTARI],Tablo1710612131618202224[TARİH],"&gt;=01/02/2026",Tablo1710612131618202224[TARİH],"&lt;=28/02/2026",Tablo1710612131618202224[MÜŞTERİ ADI],'GELİR İCMAL'!A8)</f>
        <v>0</v>
      </c>
      <c r="D8" s="7"/>
      <c r="E8" s="7"/>
      <c r="F8" s="7"/>
      <c r="G8" s="7"/>
      <c r="H8" s="7"/>
      <c r="I8" s="7"/>
      <c r="J8" s="7"/>
      <c r="K8" s="7"/>
      <c r="L8" s="7"/>
      <c r="M8" s="7"/>
      <c r="N8" s="7">
        <f t="shared" si="0"/>
        <v>0</v>
      </c>
      <c r="O8" s="7"/>
      <c r="P8" s="32">
        <f t="shared" si="1"/>
        <v>0</v>
      </c>
      <c r="Q8" s="11"/>
      <c r="R8" s="12"/>
      <c r="S8" s="12"/>
      <c r="T8" s="12"/>
      <c r="U8" s="12"/>
      <c r="V8" s="12"/>
      <c r="W8" s="12"/>
      <c r="X8" s="12"/>
      <c r="Y8" s="12"/>
      <c r="Z8" s="12"/>
      <c r="AA8" s="12"/>
      <c r="AB8" s="12"/>
    </row>
    <row r="9" spans="1:30" ht="20.100000000000001" customHeight="1" x14ac:dyDescent="0.25">
      <c r="A9" s="17" t="s">
        <v>26</v>
      </c>
      <c r="B9" s="7">
        <f>+SUMIFS(Tablo1710612131618202224[SATIŞ TUTARI],Tablo1710612131618202224[TARİH],"&gt;=01/01/2026",Tablo1710612131618202224[TARİH],"&lt;=31/01/2026",Tablo1710612131618202224[MÜŞTERİ ADI],'GELİR İCMAL'!A9)</f>
        <v>0</v>
      </c>
      <c r="C9" s="7">
        <f>+SUMIFS(Tablo1710612131618202224[SATIŞ TUTARI],Tablo1710612131618202224[TARİH],"&gt;=01/02/2026",Tablo1710612131618202224[TARİH],"&lt;=28/02/2026",Tablo1710612131618202224[MÜŞTERİ ADI],'GELİR İCMAL'!A9)</f>
        <v>0</v>
      </c>
      <c r="D9" s="7"/>
      <c r="E9" s="7"/>
      <c r="F9" s="7"/>
      <c r="G9" s="7"/>
      <c r="H9" s="7"/>
      <c r="I9" s="7"/>
      <c r="J9" s="7"/>
      <c r="K9" s="7"/>
      <c r="L9" s="7"/>
      <c r="M9" s="7"/>
      <c r="N9" s="7">
        <f t="shared" si="0"/>
        <v>0</v>
      </c>
      <c r="O9" s="7"/>
      <c r="P9" s="32">
        <f t="shared" si="1"/>
        <v>0</v>
      </c>
      <c r="Q9" s="11"/>
      <c r="R9" s="12"/>
      <c r="S9" s="12"/>
      <c r="T9" s="12"/>
      <c r="U9" s="12"/>
      <c r="V9" s="12"/>
      <c r="W9" s="12"/>
      <c r="X9" s="12"/>
      <c r="Y9" s="12"/>
      <c r="Z9" s="12"/>
      <c r="AA9" s="12"/>
      <c r="AB9" s="12"/>
    </row>
    <row r="10" spans="1:30" ht="20.100000000000001" customHeight="1" x14ac:dyDescent="0.25">
      <c r="A10" s="17" t="s">
        <v>24</v>
      </c>
      <c r="B10" s="7">
        <f>+SUMIFS(Tablo1710612131618202224[SATIŞ TUTARI],Tablo1710612131618202224[TARİH],"&gt;=01/01/2026",Tablo1710612131618202224[TARİH],"&lt;=31/01/2026",Tablo1710612131618202224[MÜŞTERİ ADI],'GELİR İCMAL'!A10)</f>
        <v>0</v>
      </c>
      <c r="C10" s="7">
        <f>+SUMIFS(Tablo1710612131618202224[SATIŞ TUTARI],Tablo1710612131618202224[TARİH],"&gt;=01/02/2026",Tablo1710612131618202224[TARİH],"&lt;=28/02/2026",Tablo1710612131618202224[MÜŞTERİ ADI],'GELİR İCMAL'!A10)</f>
        <v>0</v>
      </c>
      <c r="D10" s="7"/>
      <c r="E10" s="7"/>
      <c r="F10" s="7"/>
      <c r="G10" s="7"/>
      <c r="H10" s="7"/>
      <c r="I10" s="7"/>
      <c r="J10" s="7"/>
      <c r="K10" s="7"/>
      <c r="L10" s="7"/>
      <c r="M10" s="7"/>
      <c r="N10" s="7">
        <f t="shared" si="0"/>
        <v>0</v>
      </c>
      <c r="O10" s="7"/>
      <c r="P10" s="32">
        <f t="shared" si="1"/>
        <v>0</v>
      </c>
      <c r="Q10" s="11"/>
      <c r="R10" s="12"/>
      <c r="S10" s="12"/>
      <c r="T10" s="12"/>
      <c r="U10" s="12"/>
      <c r="V10" s="12"/>
      <c r="W10" s="12"/>
      <c r="X10" s="12"/>
      <c r="Y10" s="12"/>
      <c r="Z10" s="12"/>
      <c r="AA10" s="12"/>
      <c r="AB10" s="12"/>
    </row>
    <row r="11" spans="1:30" ht="20.100000000000001" customHeight="1" x14ac:dyDescent="0.25">
      <c r="A11" s="17" t="s">
        <v>28</v>
      </c>
      <c r="B11" s="7">
        <f>+SUMIFS(Tablo1710612131618202224[SATIŞ TUTARI],Tablo1710612131618202224[TARİH],"&gt;=01/01/2026",Tablo1710612131618202224[TARİH],"&lt;=31/01/2026",Tablo1710612131618202224[MÜŞTERİ ADI],'GELİR İCMAL'!A11)</f>
        <v>0</v>
      </c>
      <c r="C11" s="7">
        <f>+SUMIFS(Tablo1710612131618202224[SATIŞ TUTARI],Tablo1710612131618202224[TARİH],"&gt;=01/02/2026",Tablo1710612131618202224[TARİH],"&lt;=28/02/2026",Tablo1710612131618202224[MÜŞTERİ ADI],'GELİR İCMAL'!A11)</f>
        <v>0</v>
      </c>
      <c r="D11" s="7"/>
      <c r="E11" s="7"/>
      <c r="F11" s="7"/>
      <c r="G11" s="7"/>
      <c r="H11" s="7"/>
      <c r="I11" s="7"/>
      <c r="J11" s="7"/>
      <c r="K11" s="7"/>
      <c r="L11" s="7"/>
      <c r="M11" s="7"/>
      <c r="N11" s="7">
        <f t="shared" si="0"/>
        <v>0</v>
      </c>
      <c r="O11" s="7"/>
      <c r="P11" s="32">
        <f t="shared" si="1"/>
        <v>0</v>
      </c>
      <c r="Q11" s="11"/>
      <c r="R11" s="12"/>
      <c r="S11" s="12"/>
      <c r="T11" s="12"/>
      <c r="U11" s="12"/>
      <c r="V11" s="12"/>
      <c r="W11" s="12"/>
      <c r="X11" s="12"/>
      <c r="Y11" s="12"/>
      <c r="Z11" s="12"/>
      <c r="AA11" s="12"/>
      <c r="AB11" s="12"/>
    </row>
    <row r="12" spans="1:30" ht="20.100000000000001" customHeight="1" x14ac:dyDescent="0.25">
      <c r="A12" s="17" t="s">
        <v>25</v>
      </c>
      <c r="B12" s="7">
        <f>+SUMIFS(Tablo1710612131618202224[SATIŞ TUTARI],Tablo1710612131618202224[TARİH],"&gt;=01/01/2026",Tablo1710612131618202224[TARİH],"&lt;=31/01/2026",Tablo1710612131618202224[MÜŞTERİ ADI],'GELİR İCMAL'!A12)</f>
        <v>0</v>
      </c>
      <c r="C12" s="7">
        <f>+SUMIFS(Tablo1710612131618202224[SATIŞ TUTARI],Tablo1710612131618202224[TARİH],"&gt;=01/02/2026",Tablo1710612131618202224[TARİH],"&lt;=28/02/2026",Tablo1710612131618202224[MÜŞTERİ ADI],'GELİR İCMAL'!A12)</f>
        <v>0</v>
      </c>
      <c r="D12" s="7"/>
      <c r="E12" s="7"/>
      <c r="F12" s="7"/>
      <c r="G12" s="7"/>
      <c r="H12" s="7"/>
      <c r="I12" s="7"/>
      <c r="J12" s="7"/>
      <c r="K12" s="7"/>
      <c r="L12" s="7"/>
      <c r="M12" s="7"/>
      <c r="N12" s="7">
        <f t="shared" si="0"/>
        <v>0</v>
      </c>
      <c r="O12" s="7"/>
      <c r="P12" s="32">
        <f t="shared" si="1"/>
        <v>0</v>
      </c>
      <c r="Q12" s="11"/>
      <c r="R12" s="12"/>
      <c r="S12" s="12"/>
      <c r="T12" s="12"/>
      <c r="U12" s="12"/>
      <c r="V12" s="12"/>
      <c r="W12" s="12"/>
      <c r="X12" s="12"/>
      <c r="Y12" s="12"/>
      <c r="Z12" s="12"/>
      <c r="AA12" s="12"/>
      <c r="AB12" s="12"/>
    </row>
    <row r="13" spans="1:30" ht="20.100000000000001" customHeight="1" x14ac:dyDescent="0.25">
      <c r="A13" s="17" t="s">
        <v>21</v>
      </c>
      <c r="B13" s="7">
        <f>+SUMIFS(Tablo1710612131618202224[SATIŞ TUTARI],Tablo1710612131618202224[TARİH],"&gt;=01/01/2026",Tablo1710612131618202224[TARİH],"&lt;=31/01/2026",Tablo1710612131618202224[MÜŞTERİ ADI],'GELİR İCMAL'!A13)</f>
        <v>0</v>
      </c>
      <c r="C13" s="7">
        <f>+SUMIFS(Tablo1710612131618202224[SATIŞ TUTARI],Tablo1710612131618202224[TARİH],"&gt;=01/02/2026",Tablo1710612131618202224[TARİH],"&lt;=28/02/2026",Tablo1710612131618202224[MÜŞTERİ ADI],'GELİR İCMAL'!A13)</f>
        <v>0</v>
      </c>
      <c r="D13" s="7"/>
      <c r="E13" s="7"/>
      <c r="F13" s="7"/>
      <c r="G13" s="7"/>
      <c r="H13" s="7"/>
      <c r="I13" s="7"/>
      <c r="J13" s="7"/>
      <c r="K13" s="7"/>
      <c r="L13" s="7"/>
      <c r="M13" s="7"/>
      <c r="N13" s="7">
        <f t="shared" si="0"/>
        <v>0</v>
      </c>
      <c r="O13" s="7"/>
      <c r="P13" s="32">
        <f t="shared" si="1"/>
        <v>0</v>
      </c>
      <c r="Q13" s="11"/>
      <c r="R13" s="12"/>
      <c r="S13" s="12"/>
      <c r="T13" s="12"/>
      <c r="U13" s="12"/>
      <c r="V13" s="12"/>
      <c r="W13" s="12"/>
      <c r="X13" s="12"/>
      <c r="Y13" s="12"/>
      <c r="Z13" s="12"/>
      <c r="AA13" s="12"/>
      <c r="AB13" s="12"/>
    </row>
    <row r="14" spans="1:30" ht="20.100000000000001" customHeight="1" x14ac:dyDescent="0.25">
      <c r="A14" s="17" t="s">
        <v>12</v>
      </c>
      <c r="B14" s="7">
        <f>+SUMIFS(Tablo1710612131618202224[SATIŞ TUTARI],Tablo1710612131618202224[TARİH],"&gt;=01/01/2026",Tablo1710612131618202224[TARİH],"&lt;=31/01/2026",Tablo1710612131618202224[MÜŞTERİ ADI],'GELİR İCMAL'!A14)</f>
        <v>0</v>
      </c>
      <c r="C14" s="7">
        <f>+SUMIFS(Tablo1710612131618202224[SATIŞ TUTARI],Tablo1710612131618202224[TARİH],"&gt;=01/02/2026",Tablo1710612131618202224[TARİH],"&lt;=28/02/2026",Tablo1710612131618202224[MÜŞTERİ ADI],'GELİR İCMAL'!A14)</f>
        <v>0</v>
      </c>
      <c r="D14" s="7"/>
      <c r="E14" s="7"/>
      <c r="F14" s="7"/>
      <c r="G14" s="7"/>
      <c r="H14" s="7"/>
      <c r="I14" s="7"/>
      <c r="J14" s="7"/>
      <c r="K14" s="7"/>
      <c r="L14" s="7"/>
      <c r="M14" s="7"/>
      <c r="N14" s="7">
        <f t="shared" si="0"/>
        <v>0</v>
      </c>
      <c r="O14" s="7"/>
      <c r="P14" s="32">
        <f t="shared" si="1"/>
        <v>0</v>
      </c>
      <c r="Q14" s="11"/>
      <c r="R14" s="12"/>
      <c r="S14" s="12"/>
      <c r="T14" s="12"/>
      <c r="U14" s="12"/>
      <c r="V14" s="12"/>
      <c r="W14" s="12"/>
      <c r="X14" s="12"/>
      <c r="Y14" s="12"/>
      <c r="Z14" s="12"/>
      <c r="AA14" s="12"/>
      <c r="AB14" s="12"/>
    </row>
    <row r="15" spans="1:30" ht="20.100000000000001" customHeight="1" x14ac:dyDescent="0.25">
      <c r="A15" s="17" t="s">
        <v>18</v>
      </c>
      <c r="B15" s="7">
        <f>+SUMIFS(Tablo1710612131618202224[SATIŞ TUTARI],Tablo1710612131618202224[TARİH],"&gt;=01/01/2026",Tablo1710612131618202224[TARİH],"&lt;=31/01/2026",Tablo1710612131618202224[MÜŞTERİ ADI],'GELİR İCMAL'!A15)</f>
        <v>0</v>
      </c>
      <c r="C15" s="7">
        <f>+SUMIFS(Tablo1710612131618202224[SATIŞ TUTARI],Tablo1710612131618202224[TARİH],"&gt;=01/02/2026",Tablo1710612131618202224[TARİH],"&lt;=28/02/2026",Tablo1710612131618202224[MÜŞTERİ ADI],'GELİR İCMAL'!A15)</f>
        <v>0</v>
      </c>
      <c r="D15" s="7"/>
      <c r="E15" s="7"/>
      <c r="F15" s="7"/>
      <c r="G15" s="7"/>
      <c r="H15" s="7"/>
      <c r="I15" s="7"/>
      <c r="J15" s="7"/>
      <c r="K15" s="7"/>
      <c r="L15" s="7"/>
      <c r="M15" s="7"/>
      <c r="N15" s="7">
        <f t="shared" si="0"/>
        <v>0</v>
      </c>
      <c r="O15" s="7"/>
      <c r="P15" s="32">
        <f t="shared" si="1"/>
        <v>0</v>
      </c>
      <c r="Q15" s="11"/>
      <c r="R15" s="12"/>
      <c r="S15" s="12"/>
      <c r="T15" s="12"/>
      <c r="U15" s="12"/>
      <c r="V15" s="12"/>
      <c r="W15" s="12"/>
      <c r="X15" s="12"/>
      <c r="Y15" s="12"/>
      <c r="Z15" s="12"/>
      <c r="AA15" s="12"/>
      <c r="AB15" s="12"/>
    </row>
    <row r="16" spans="1:30" ht="20.100000000000001" customHeight="1" x14ac:dyDescent="0.25">
      <c r="A16" s="17" t="s">
        <v>29</v>
      </c>
      <c r="B16" s="7">
        <f>+SUMIFS(Tablo1710612131618202224[SATIŞ TUTARI],Tablo1710612131618202224[TARİH],"&gt;=01/01/2026",Tablo1710612131618202224[TARİH],"&lt;=31/01/2026",Tablo1710612131618202224[MÜŞTERİ ADI],'GELİR İCMAL'!A16)</f>
        <v>0</v>
      </c>
      <c r="C16" s="7">
        <f>+SUMIFS(Tablo1710612131618202224[SATIŞ TUTARI],Tablo1710612131618202224[TARİH],"&gt;=01/02/2026",Tablo1710612131618202224[TARİH],"&lt;=28/02/2026",Tablo1710612131618202224[MÜŞTERİ ADI],'GELİR İCMAL'!A16)</f>
        <v>0</v>
      </c>
      <c r="D16" s="7"/>
      <c r="E16" s="7"/>
      <c r="F16" s="7"/>
      <c r="G16" s="7"/>
      <c r="H16" s="7"/>
      <c r="I16" s="7"/>
      <c r="J16" s="7"/>
      <c r="K16" s="7"/>
      <c r="L16" s="7"/>
      <c r="M16" s="7"/>
      <c r="N16" s="7">
        <f t="shared" si="0"/>
        <v>0</v>
      </c>
      <c r="O16" s="7"/>
      <c r="P16" s="32">
        <f t="shared" si="1"/>
        <v>0</v>
      </c>
      <c r="Q16" s="11"/>
      <c r="R16" s="12"/>
      <c r="S16" s="12"/>
      <c r="T16" s="12"/>
      <c r="U16" s="12"/>
      <c r="V16" s="12"/>
      <c r="W16" s="12"/>
      <c r="X16" s="12"/>
      <c r="Y16" s="12"/>
      <c r="Z16" s="12"/>
      <c r="AA16" s="12"/>
      <c r="AB16" s="12"/>
    </row>
    <row r="17" spans="1:28" ht="20.100000000000001" customHeight="1" x14ac:dyDescent="0.25">
      <c r="A17" s="17" t="s">
        <v>32</v>
      </c>
      <c r="B17" s="7">
        <f>+SUMIFS(Tablo1710612131618202224[SATIŞ TUTARI],Tablo1710612131618202224[TARİH],"&gt;=01/01/2026",Tablo1710612131618202224[TARİH],"&lt;=31/01/2026",Tablo1710612131618202224[MÜŞTERİ ADI],'GELİR İCMAL'!A17)</f>
        <v>0</v>
      </c>
      <c r="C17" s="7">
        <f>+SUMIFS(Tablo1710612131618202224[SATIŞ TUTARI],Tablo1710612131618202224[TARİH],"&gt;=01/02/2026",Tablo1710612131618202224[TARİH],"&lt;=28/02/2026",Tablo1710612131618202224[MÜŞTERİ ADI],'GELİR İCMAL'!A17)</f>
        <v>0</v>
      </c>
      <c r="D17" s="7"/>
      <c r="E17" s="7"/>
      <c r="F17" s="7"/>
      <c r="G17" s="7"/>
      <c r="H17" s="7"/>
      <c r="I17" s="7"/>
      <c r="J17" s="7"/>
      <c r="K17" s="7"/>
      <c r="L17" s="7"/>
      <c r="M17" s="7"/>
      <c r="N17" s="7">
        <f t="shared" si="0"/>
        <v>0</v>
      </c>
      <c r="O17" s="7"/>
      <c r="P17" s="32">
        <f t="shared" si="1"/>
        <v>0</v>
      </c>
      <c r="Q17" s="11"/>
      <c r="R17" s="12"/>
      <c r="S17" s="12"/>
      <c r="T17" s="12"/>
      <c r="U17" s="12"/>
      <c r="V17" s="12"/>
      <c r="W17" s="12"/>
      <c r="X17" s="12"/>
      <c r="Y17" s="12"/>
      <c r="Z17" s="12"/>
      <c r="AA17" s="12"/>
      <c r="AB17" s="12"/>
    </row>
    <row r="18" spans="1:28" ht="20.100000000000001" customHeight="1" x14ac:dyDescent="0.25">
      <c r="A18" s="17" t="s">
        <v>33</v>
      </c>
      <c r="B18" s="7">
        <f>+SUMIFS(Tablo1710612131618202224[SATIŞ TUTARI],Tablo1710612131618202224[TARİH],"&gt;=01/01/2026",Tablo1710612131618202224[TARİH],"&lt;=31/01/2026",Tablo1710612131618202224[MÜŞTERİ ADI],'GELİR İCMAL'!A18)</f>
        <v>0</v>
      </c>
      <c r="C18" s="7">
        <f>+SUMIFS(Tablo1710612131618202224[SATIŞ TUTARI],Tablo1710612131618202224[TARİH],"&gt;=01/02/2026",Tablo1710612131618202224[TARİH],"&lt;=28/02/2026",Tablo1710612131618202224[MÜŞTERİ ADI],'GELİR İCMAL'!A18)</f>
        <v>0</v>
      </c>
      <c r="D18" s="7"/>
      <c r="E18" s="7"/>
      <c r="F18" s="7"/>
      <c r="G18" s="7"/>
      <c r="H18" s="7"/>
      <c r="I18" s="7"/>
      <c r="J18" s="7"/>
      <c r="K18" s="7"/>
      <c r="L18" s="7"/>
      <c r="M18" s="7"/>
      <c r="N18" s="7">
        <f t="shared" si="0"/>
        <v>0</v>
      </c>
      <c r="O18" s="7"/>
      <c r="P18" s="32">
        <f t="shared" si="1"/>
        <v>0</v>
      </c>
      <c r="Q18" s="11"/>
      <c r="R18" s="12"/>
      <c r="S18" s="12"/>
      <c r="T18" s="12"/>
      <c r="U18" s="12"/>
      <c r="V18" s="12"/>
      <c r="W18" s="12"/>
      <c r="X18" s="12"/>
      <c r="Y18" s="12"/>
      <c r="Z18" s="12"/>
      <c r="AA18" s="12"/>
      <c r="AB18" s="12"/>
    </row>
    <row r="19" spans="1:28" ht="20.100000000000001" customHeight="1" x14ac:dyDescent="0.25">
      <c r="A19" s="17" t="s">
        <v>34</v>
      </c>
      <c r="B19" s="7">
        <f>+SUMIFS(Tablo1710612131618202224[SATIŞ TUTARI],Tablo1710612131618202224[TARİH],"&gt;=01/01/2026",Tablo1710612131618202224[TARİH],"&lt;=31/01/2026",Tablo1710612131618202224[MÜŞTERİ ADI],'GELİR İCMAL'!A19)</f>
        <v>0</v>
      </c>
      <c r="C19" s="7">
        <f>+SUMIFS(Tablo1710612131618202224[SATIŞ TUTARI],Tablo1710612131618202224[TARİH],"&gt;=01/02/2026",Tablo1710612131618202224[TARİH],"&lt;=28/02/2026",Tablo1710612131618202224[MÜŞTERİ ADI],'GELİR İCMAL'!A19)</f>
        <v>0</v>
      </c>
      <c r="D19" s="7"/>
      <c r="E19" s="7"/>
      <c r="F19" s="7"/>
      <c r="G19" s="7"/>
      <c r="H19" s="7"/>
      <c r="I19" s="7"/>
      <c r="J19" s="7"/>
      <c r="K19" s="7"/>
      <c r="L19" s="7"/>
      <c r="M19" s="7"/>
      <c r="N19" s="7">
        <f t="shared" si="0"/>
        <v>0</v>
      </c>
      <c r="O19" s="7"/>
      <c r="P19" s="32">
        <f t="shared" si="1"/>
        <v>0</v>
      </c>
      <c r="Q19" s="11"/>
      <c r="R19" s="12"/>
      <c r="S19" s="12"/>
      <c r="T19" s="12"/>
      <c r="U19" s="12"/>
      <c r="V19" s="12"/>
      <c r="W19" s="12"/>
      <c r="X19" s="12"/>
      <c r="Y19" s="12"/>
      <c r="Z19" s="12"/>
      <c r="AA19" s="12"/>
      <c r="AB19" s="12"/>
    </row>
    <row r="20" spans="1:28" ht="20.100000000000001" customHeight="1" x14ac:dyDescent="0.25">
      <c r="A20" s="17" t="s">
        <v>61</v>
      </c>
      <c r="B20" s="7">
        <f>+SUMIFS(Tablo1710612131618202224[SATIŞ TUTARI],Tablo1710612131618202224[TARİH],"&gt;=01/01/2026",Tablo1710612131618202224[TARİH],"&lt;=31/01/2026",Tablo1710612131618202224[MÜŞTERİ ADI],'GELİR İCMAL'!A20)</f>
        <v>0</v>
      </c>
      <c r="C20" s="7">
        <f>+SUMIFS(Tablo1710612131618202224[SATIŞ TUTARI],Tablo1710612131618202224[TARİH],"&gt;=01/02/2026",Tablo1710612131618202224[TARİH],"&lt;=28/02/2026",Tablo1710612131618202224[MÜŞTERİ ADI],'GELİR İCMAL'!A20)</f>
        <v>0</v>
      </c>
      <c r="D20" s="7"/>
      <c r="E20" s="7"/>
      <c r="F20" s="7"/>
      <c r="G20" s="7"/>
      <c r="H20" s="7"/>
      <c r="I20" s="7"/>
      <c r="J20" s="7"/>
      <c r="K20" s="7"/>
      <c r="L20" s="7"/>
      <c r="M20" s="7"/>
      <c r="N20" s="7">
        <f t="shared" si="0"/>
        <v>0</v>
      </c>
      <c r="O20" s="7"/>
      <c r="P20" s="32">
        <f t="shared" si="1"/>
        <v>0</v>
      </c>
      <c r="Q20" s="11"/>
      <c r="R20" s="12"/>
      <c r="S20" s="12"/>
      <c r="T20" s="12"/>
      <c r="U20" s="12"/>
      <c r="V20" s="12"/>
      <c r="W20" s="12"/>
      <c r="X20" s="12"/>
      <c r="Y20" s="12"/>
      <c r="Z20" s="12"/>
      <c r="AA20" s="12"/>
      <c r="AB20" s="12"/>
    </row>
    <row r="21" spans="1:28" ht="20.100000000000001" customHeight="1" x14ac:dyDescent="0.25">
      <c r="A21" s="17" t="s">
        <v>31</v>
      </c>
      <c r="B21" s="7">
        <f>+SUMIFS(Tablo1710612131618202224[SATIŞ TUTARI],Tablo1710612131618202224[TARİH],"&gt;=01/01/2026",Tablo1710612131618202224[TARİH],"&lt;=31/01/2026",Tablo1710612131618202224[MÜŞTERİ ADI],'GELİR İCMAL'!A21)</f>
        <v>0</v>
      </c>
      <c r="C21" s="7">
        <f>+SUMIFS(Tablo1710612131618202224[SATIŞ TUTARI],Tablo1710612131618202224[TARİH],"&gt;=01/02/2026",Tablo1710612131618202224[TARİH],"&lt;=28/02/2026",Tablo1710612131618202224[MÜŞTERİ ADI],'GELİR İCMAL'!A21)</f>
        <v>0</v>
      </c>
      <c r="D21" s="7"/>
      <c r="E21" s="7"/>
      <c r="F21" s="7"/>
      <c r="G21" s="7"/>
      <c r="H21" s="7"/>
      <c r="I21" s="7"/>
      <c r="J21" s="7"/>
      <c r="K21" s="7"/>
      <c r="L21" s="7"/>
      <c r="M21" s="7"/>
      <c r="N21" s="7">
        <f t="shared" si="0"/>
        <v>0</v>
      </c>
      <c r="O21" s="7"/>
      <c r="P21" s="32">
        <f t="shared" si="1"/>
        <v>0</v>
      </c>
      <c r="Q21" s="11"/>
      <c r="R21" s="12"/>
      <c r="S21" s="12"/>
      <c r="T21" s="12"/>
      <c r="U21" s="12"/>
      <c r="V21" s="12"/>
      <c r="W21" s="12"/>
      <c r="X21" s="12"/>
      <c r="Y21" s="12"/>
      <c r="Z21" s="12"/>
      <c r="AA21" s="12"/>
      <c r="AB21" s="12"/>
    </row>
    <row r="22" spans="1:28" ht="20.100000000000001" customHeight="1" x14ac:dyDescent="0.25">
      <c r="A22" s="17" t="s">
        <v>63</v>
      </c>
      <c r="B22" s="7">
        <f>+SUMIFS(Tablo1710612131618202224[SATIŞ TUTARI],Tablo1710612131618202224[TARİH],"&gt;=01/01/2026",Tablo1710612131618202224[TARİH],"&lt;=31/01/2026",Tablo1710612131618202224[MÜŞTERİ ADI],'GELİR İCMAL'!A22)</f>
        <v>0</v>
      </c>
      <c r="C22" s="7">
        <f>+SUMIFS(Tablo1710612131618202224[SATIŞ TUTARI],Tablo1710612131618202224[TARİH],"&gt;=01/02/2026",Tablo1710612131618202224[TARİH],"&lt;=28/02/2026",Tablo1710612131618202224[MÜŞTERİ ADI],'GELİR İCMAL'!A22)</f>
        <v>0</v>
      </c>
      <c r="D22" s="7"/>
      <c r="E22" s="7"/>
      <c r="F22" s="7"/>
      <c r="G22" s="7"/>
      <c r="H22" s="7"/>
      <c r="I22" s="7"/>
      <c r="J22" s="7"/>
      <c r="K22" s="7"/>
      <c r="L22" s="7"/>
      <c r="M22" s="7"/>
      <c r="N22" s="7">
        <f t="shared" si="0"/>
        <v>0</v>
      </c>
      <c r="O22" s="7"/>
      <c r="P22" s="32">
        <f t="shared" si="1"/>
        <v>0</v>
      </c>
      <c r="Q22" s="11"/>
      <c r="R22" s="12"/>
      <c r="S22" s="12"/>
      <c r="T22" s="12"/>
      <c r="U22" s="12"/>
      <c r="V22" s="12"/>
      <c r="W22" s="12"/>
      <c r="X22" s="12"/>
      <c r="Y22" s="12"/>
      <c r="Z22" s="12"/>
      <c r="AA22" s="12"/>
      <c r="AB22" s="12"/>
    </row>
    <row r="23" spans="1:28" ht="20.100000000000001" customHeight="1" x14ac:dyDescent="0.25">
      <c r="A23" s="17" t="s">
        <v>64</v>
      </c>
      <c r="B23" s="7">
        <f>+SUMIFS(Tablo1710612131618202224[SATIŞ TUTARI],Tablo1710612131618202224[TARİH],"&gt;=01/01/2026",Tablo1710612131618202224[TARİH],"&lt;=31/01/2026",Tablo1710612131618202224[MÜŞTERİ ADI],'GELİR İCMAL'!A23)</f>
        <v>0</v>
      </c>
      <c r="C23" s="7">
        <f>+SUMIFS(Tablo1710612131618202224[SATIŞ TUTARI],Tablo1710612131618202224[TARİH],"&gt;=01/02/2026",Tablo1710612131618202224[TARİH],"&lt;=28/02/2026",Tablo1710612131618202224[MÜŞTERİ ADI],'GELİR İCMAL'!A23)</f>
        <v>0</v>
      </c>
      <c r="D23" s="7"/>
      <c r="E23" s="7"/>
      <c r="F23" s="7"/>
      <c r="G23" s="7"/>
      <c r="H23" s="7"/>
      <c r="I23" s="7"/>
      <c r="J23" s="7"/>
      <c r="K23" s="7"/>
      <c r="L23" s="7"/>
      <c r="M23" s="7"/>
      <c r="N23" s="7">
        <f t="shared" si="0"/>
        <v>0</v>
      </c>
      <c r="O23" s="7"/>
      <c r="P23" s="32">
        <f t="shared" si="1"/>
        <v>0</v>
      </c>
      <c r="Q23" s="11"/>
      <c r="R23" s="12"/>
      <c r="S23" s="12"/>
      <c r="T23" s="12"/>
      <c r="U23" s="12"/>
      <c r="V23" s="12"/>
      <c r="W23" s="12"/>
      <c r="X23" s="12"/>
      <c r="Y23" s="12"/>
      <c r="Z23" s="12"/>
      <c r="AA23" s="12"/>
      <c r="AB23" s="12"/>
    </row>
    <row r="24" spans="1:28" ht="20.100000000000001" customHeight="1" x14ac:dyDescent="0.25">
      <c r="A24" s="6" t="s">
        <v>69</v>
      </c>
      <c r="B24" s="7">
        <f>+SUMIFS(Tablo1710612131618202224[SATIŞ TUTARI],Tablo1710612131618202224[TARİH],"&gt;=01/01/2026",Tablo1710612131618202224[TARİH],"&lt;=31/01/2026",Tablo1710612131618202224[MÜŞTERİ ADI],'GELİR İCMAL'!A24)</f>
        <v>0</v>
      </c>
      <c r="C24" s="7">
        <f>+SUMIFS(Tablo1710612131618202224[SATIŞ TUTARI],Tablo1710612131618202224[TARİH],"&gt;=01/02/2026",Tablo1710612131618202224[TARİH],"&lt;=28/02/2026",Tablo1710612131618202224[MÜŞTERİ ADI],'GELİR İCMAL'!A24)</f>
        <v>0</v>
      </c>
      <c r="D24" s="7"/>
      <c r="E24" s="7"/>
      <c r="F24" s="7"/>
      <c r="G24" s="7"/>
      <c r="H24" s="7"/>
      <c r="I24" s="7"/>
      <c r="J24" s="7"/>
      <c r="K24" s="7"/>
      <c r="L24" s="7"/>
      <c r="M24" s="7"/>
      <c r="N24" s="7">
        <f t="shared" si="0"/>
        <v>0</v>
      </c>
      <c r="O24" s="7"/>
      <c r="P24" s="32">
        <f t="shared" si="1"/>
        <v>0</v>
      </c>
      <c r="Q24" s="11"/>
      <c r="R24" s="12"/>
      <c r="S24" s="12"/>
      <c r="T24" s="12"/>
      <c r="U24" s="12"/>
      <c r="V24" s="12"/>
      <c r="W24" s="12"/>
      <c r="X24" s="12"/>
      <c r="Y24" s="12"/>
      <c r="Z24" s="12"/>
      <c r="AA24" s="12"/>
      <c r="AB24" s="12"/>
    </row>
    <row r="25" spans="1:28" ht="20.100000000000001" customHeight="1" x14ac:dyDescent="0.25">
      <c r="A25" s="6" t="s">
        <v>70</v>
      </c>
      <c r="B25" s="7">
        <f>+SUMIFS(Tablo1710612131618202224[SATIŞ TUTARI],Tablo1710612131618202224[TARİH],"&gt;=01/01/2026",Tablo1710612131618202224[TARİH],"&lt;=31/01/2026",Tablo1710612131618202224[MÜŞTERİ ADI],'GELİR İCMAL'!A25)</f>
        <v>0</v>
      </c>
      <c r="C25" s="7">
        <f>+SUMIFS(Tablo1710612131618202224[SATIŞ TUTARI],Tablo1710612131618202224[TARİH],"&gt;=01/02/2026",Tablo1710612131618202224[TARİH],"&lt;=28/02/2026",Tablo1710612131618202224[MÜŞTERİ ADI],'GELİR İCMAL'!A25)</f>
        <v>0</v>
      </c>
      <c r="D25" s="7"/>
      <c r="E25" s="7"/>
      <c r="F25" s="7"/>
      <c r="G25" s="7"/>
      <c r="H25" s="7"/>
      <c r="I25" s="7"/>
      <c r="J25" s="7"/>
      <c r="K25" s="7"/>
      <c r="L25" s="7"/>
      <c r="M25" s="7"/>
      <c r="N25" s="7">
        <f t="shared" si="0"/>
        <v>0</v>
      </c>
      <c r="O25" s="7"/>
      <c r="P25" s="32">
        <f t="shared" si="1"/>
        <v>0</v>
      </c>
      <c r="Q25" s="11"/>
      <c r="R25" s="12"/>
      <c r="S25" s="12"/>
      <c r="T25" s="12"/>
      <c r="U25" s="12"/>
      <c r="V25" s="12"/>
      <c r="W25" s="12"/>
      <c r="X25" s="12"/>
      <c r="Y25" s="12"/>
      <c r="Z25" s="12"/>
      <c r="AA25" s="12"/>
      <c r="AB25" s="12"/>
    </row>
    <row r="26" spans="1:28" ht="20.100000000000001" customHeight="1" x14ac:dyDescent="0.25">
      <c r="A26" s="6" t="s">
        <v>71</v>
      </c>
      <c r="B26" s="7">
        <f>+SUMIFS(Tablo1710612131618202224[SATIŞ TUTARI],Tablo1710612131618202224[TARİH],"&gt;=01/01/2026",Tablo1710612131618202224[TARİH],"&lt;=31/01/2026",Tablo1710612131618202224[MÜŞTERİ ADI],'GELİR İCMAL'!A26)</f>
        <v>0</v>
      </c>
      <c r="C26" s="7">
        <f>+SUMIFS(Tablo1710612131618202224[SATIŞ TUTARI],Tablo1710612131618202224[TARİH],"&gt;=01/02/2026",Tablo1710612131618202224[TARİH],"&lt;=28/02/2026",Tablo1710612131618202224[MÜŞTERİ ADI],'GELİR İCMAL'!A26)</f>
        <v>0</v>
      </c>
      <c r="D26" s="7"/>
      <c r="E26" s="7"/>
      <c r="F26" s="7"/>
      <c r="G26" s="7"/>
      <c r="H26" s="7"/>
      <c r="I26" s="7"/>
      <c r="J26" s="7"/>
      <c r="K26" s="7"/>
      <c r="L26" s="7"/>
      <c r="M26" s="7"/>
      <c r="N26" s="7">
        <f t="shared" si="0"/>
        <v>0</v>
      </c>
      <c r="O26" s="7"/>
      <c r="P26" s="32">
        <f t="shared" si="1"/>
        <v>0</v>
      </c>
      <c r="Q26" s="11"/>
      <c r="R26" s="12"/>
      <c r="S26" s="12"/>
      <c r="T26" s="12"/>
      <c r="U26" s="12"/>
      <c r="V26" s="12"/>
      <c r="W26" s="12"/>
      <c r="X26" s="12"/>
      <c r="Y26" s="12"/>
      <c r="Z26" s="12"/>
      <c r="AA26" s="12"/>
      <c r="AB26" s="12"/>
    </row>
    <row r="27" spans="1:28" ht="20.100000000000001" customHeight="1" x14ac:dyDescent="0.25">
      <c r="A27" s="6" t="s">
        <v>72</v>
      </c>
      <c r="B27" s="7">
        <f>+SUMIFS(Tablo1710612131618202224[SATIŞ TUTARI],Tablo1710612131618202224[TARİH],"&gt;=01/01/2026",Tablo1710612131618202224[TARİH],"&lt;=31/01/2026",Tablo1710612131618202224[MÜŞTERİ ADI],'GELİR İCMAL'!A27)</f>
        <v>0</v>
      </c>
      <c r="C27" s="7">
        <f>+SUMIFS(Tablo1710612131618202224[SATIŞ TUTARI],Tablo1710612131618202224[TARİH],"&gt;=01/02/2026",Tablo1710612131618202224[TARİH],"&lt;=28/02/2026",Tablo1710612131618202224[MÜŞTERİ ADI],'GELİR İCMAL'!A27)</f>
        <v>0</v>
      </c>
      <c r="D27" s="7"/>
      <c r="E27" s="7"/>
      <c r="F27" s="7"/>
      <c r="G27" s="7"/>
      <c r="H27" s="7"/>
      <c r="I27" s="7"/>
      <c r="J27" s="7"/>
      <c r="K27" s="7"/>
      <c r="L27" s="7"/>
      <c r="M27" s="7"/>
      <c r="N27" s="7">
        <f t="shared" si="0"/>
        <v>0</v>
      </c>
      <c r="O27" s="7"/>
      <c r="P27" s="32">
        <f t="shared" si="1"/>
        <v>0</v>
      </c>
      <c r="Q27" s="11"/>
      <c r="R27" s="12"/>
      <c r="S27" s="12"/>
      <c r="T27" s="12"/>
      <c r="U27" s="12"/>
      <c r="V27" s="12"/>
      <c r="W27" s="12"/>
      <c r="X27" s="12"/>
      <c r="Y27" s="12"/>
      <c r="Z27" s="12"/>
      <c r="AA27" s="12"/>
      <c r="AB27" s="12"/>
    </row>
    <row r="28" spans="1:28" ht="20.100000000000001" customHeight="1" x14ac:dyDescent="0.25">
      <c r="A28" s="6" t="s">
        <v>286</v>
      </c>
      <c r="B28" s="7">
        <f>+SUMIFS(Tablo1710612131618202224[SATIŞ TUTARI],Tablo1710612131618202224[TARİH],"&gt;=01/01/2026",Tablo1710612131618202224[TARİH],"&lt;=31/01/2026",Tablo1710612131618202224[MÜŞTERİ ADI],'GELİR İCMAL'!A28)</f>
        <v>0</v>
      </c>
      <c r="C28" s="7">
        <f>+SUMIFS(Tablo1710612131618202224[SATIŞ TUTARI],Tablo1710612131618202224[TARİH],"&gt;=01/02/2026",Tablo1710612131618202224[TARİH],"&lt;=28/02/2026",Tablo1710612131618202224[MÜŞTERİ ADI],'GELİR İCMAL'!A28)</f>
        <v>0</v>
      </c>
      <c r="D28" s="7"/>
      <c r="E28" s="7"/>
      <c r="F28" s="7"/>
      <c r="G28" s="7"/>
      <c r="H28" s="7"/>
      <c r="I28" s="7"/>
      <c r="J28" s="7"/>
      <c r="K28" s="7"/>
      <c r="L28" s="7"/>
      <c r="M28" s="7"/>
      <c r="N28" s="7">
        <f t="shared" si="0"/>
        <v>0</v>
      </c>
      <c r="O28" s="7"/>
      <c r="P28" s="32">
        <f t="shared" si="1"/>
        <v>0</v>
      </c>
      <c r="Q28" s="11"/>
      <c r="R28" s="12"/>
      <c r="S28" s="12"/>
      <c r="T28" s="12"/>
      <c r="U28" s="12"/>
      <c r="V28" s="12"/>
      <c r="W28" s="12"/>
      <c r="X28" s="12"/>
      <c r="Y28" s="12"/>
      <c r="Z28" s="12"/>
      <c r="AA28" s="12"/>
      <c r="AB28" s="12"/>
    </row>
    <row r="29" spans="1:28" ht="20.100000000000001" customHeight="1" x14ac:dyDescent="0.25">
      <c r="A29" s="6" t="s">
        <v>82</v>
      </c>
      <c r="B29" s="7">
        <f>+SUMIFS(Tablo1710612131618202224[SATIŞ TUTARI],Tablo1710612131618202224[TARİH],"&gt;=01/01/2026",Tablo1710612131618202224[TARİH],"&lt;=31/01/2026",Tablo1710612131618202224[MÜŞTERİ ADI],'GELİR İCMAL'!A29)</f>
        <v>0</v>
      </c>
      <c r="C29" s="7">
        <f>+SUMIFS(Tablo1710612131618202224[SATIŞ TUTARI],Tablo1710612131618202224[TARİH],"&gt;=01/02/2026",Tablo1710612131618202224[TARİH],"&lt;=28/02/2026",Tablo1710612131618202224[MÜŞTERİ ADI],'GELİR İCMAL'!A29)</f>
        <v>0</v>
      </c>
      <c r="D29" s="7"/>
      <c r="E29" s="7"/>
      <c r="F29" s="7"/>
      <c r="G29" s="7"/>
      <c r="H29" s="7"/>
      <c r="I29" s="7"/>
      <c r="J29" s="7"/>
      <c r="K29" s="7"/>
      <c r="L29" s="7"/>
      <c r="M29" s="7"/>
      <c r="N29" s="7">
        <f t="shared" si="0"/>
        <v>0</v>
      </c>
      <c r="O29" s="7"/>
      <c r="P29" s="32">
        <f t="shared" si="1"/>
        <v>0</v>
      </c>
      <c r="Q29" s="11"/>
      <c r="R29" s="12"/>
      <c r="S29" s="12"/>
      <c r="T29" s="12"/>
      <c r="U29" s="12"/>
      <c r="V29" s="12"/>
      <c r="W29" s="12"/>
      <c r="X29" s="12"/>
      <c r="Y29" s="12"/>
      <c r="Z29" s="12"/>
      <c r="AA29" s="12"/>
      <c r="AB29" s="12"/>
    </row>
    <row r="30" spans="1:28" ht="20.100000000000001" customHeight="1" x14ac:dyDescent="0.25">
      <c r="A30" s="6" t="s">
        <v>76</v>
      </c>
      <c r="B30" s="7">
        <f>+SUMIFS(Tablo1710612131618202224[SATIŞ TUTARI],Tablo1710612131618202224[TARİH],"&gt;=01/01/2026",Tablo1710612131618202224[TARİH],"&lt;=31/01/2026",Tablo1710612131618202224[MÜŞTERİ ADI],'GELİR İCMAL'!A30)</f>
        <v>0</v>
      </c>
      <c r="C30" s="7">
        <f>+SUMIFS(Tablo1710612131618202224[SATIŞ TUTARI],Tablo1710612131618202224[TARİH],"&gt;=01/02/2026",Tablo1710612131618202224[TARİH],"&lt;=28/02/2026",Tablo1710612131618202224[MÜŞTERİ ADI],'GELİR İCMAL'!A30)</f>
        <v>0</v>
      </c>
      <c r="D30" s="7"/>
      <c r="E30" s="7"/>
      <c r="F30" s="7"/>
      <c r="G30" s="7"/>
      <c r="H30" s="7"/>
      <c r="I30" s="7"/>
      <c r="J30" s="7"/>
      <c r="K30" s="7"/>
      <c r="L30" s="7"/>
      <c r="M30" s="7"/>
      <c r="N30" s="7">
        <f t="shared" si="0"/>
        <v>0</v>
      </c>
      <c r="O30" s="7"/>
      <c r="P30" s="32">
        <f t="shared" si="1"/>
        <v>0</v>
      </c>
      <c r="Q30" s="11"/>
      <c r="R30" s="12"/>
      <c r="S30" s="12"/>
      <c r="T30" s="12"/>
      <c r="U30" s="12"/>
      <c r="V30" s="12"/>
      <c r="W30" s="12"/>
      <c r="X30" s="12"/>
      <c r="Y30" s="12"/>
      <c r="Z30" s="12"/>
      <c r="AA30" s="12"/>
      <c r="AB30" s="12"/>
    </row>
    <row r="31" spans="1:28" ht="20.100000000000001" customHeight="1" x14ac:dyDescent="0.25">
      <c r="A31" s="6" t="s">
        <v>83</v>
      </c>
      <c r="B31" s="7">
        <f>+SUMIFS(Tablo1710612131618202224[SATIŞ TUTARI],Tablo1710612131618202224[TARİH],"&gt;=01/01/2026",Tablo1710612131618202224[TARİH],"&lt;=31/01/2026",Tablo1710612131618202224[MÜŞTERİ ADI],'GELİR İCMAL'!A31)</f>
        <v>0</v>
      </c>
      <c r="C31" s="7">
        <f>+SUMIFS(Tablo1710612131618202224[SATIŞ TUTARI],Tablo1710612131618202224[TARİH],"&gt;=01/02/2026",Tablo1710612131618202224[TARİH],"&lt;=28/02/2026",Tablo1710612131618202224[MÜŞTERİ ADI],'GELİR İCMAL'!A31)</f>
        <v>0</v>
      </c>
      <c r="D31" s="7"/>
      <c r="E31" s="7"/>
      <c r="F31" s="7"/>
      <c r="G31" s="7"/>
      <c r="H31" s="7"/>
      <c r="I31" s="7"/>
      <c r="J31" s="7"/>
      <c r="K31" s="7"/>
      <c r="L31" s="7"/>
      <c r="M31" s="7"/>
      <c r="N31" s="7">
        <f t="shared" si="0"/>
        <v>0</v>
      </c>
      <c r="O31" s="7"/>
      <c r="P31" s="32">
        <f t="shared" si="1"/>
        <v>0</v>
      </c>
      <c r="Q31" s="11"/>
      <c r="R31" s="12"/>
      <c r="S31" s="12"/>
      <c r="T31" s="12"/>
      <c r="U31" s="12"/>
      <c r="V31" s="12"/>
      <c r="W31" s="12"/>
      <c r="X31" s="12"/>
      <c r="Y31" s="12"/>
      <c r="Z31" s="12"/>
      <c r="AA31" s="12"/>
      <c r="AB31" s="12"/>
    </row>
    <row r="32" spans="1:28" ht="20.100000000000001" customHeight="1" x14ac:dyDescent="0.25">
      <c r="A32" s="6" t="s">
        <v>78</v>
      </c>
      <c r="B32" s="7">
        <f>+SUMIFS(Tablo1710612131618202224[SATIŞ TUTARI],Tablo1710612131618202224[TARİH],"&gt;=01/01/2026",Tablo1710612131618202224[TARİH],"&lt;=31/01/2026",Tablo1710612131618202224[MÜŞTERİ ADI],'GELİR İCMAL'!A32)</f>
        <v>0</v>
      </c>
      <c r="C32" s="7">
        <f>+SUMIFS(Tablo1710612131618202224[SATIŞ TUTARI],Tablo1710612131618202224[TARİH],"&gt;=01/02/2026",Tablo1710612131618202224[TARİH],"&lt;=28/02/2026",Tablo1710612131618202224[MÜŞTERİ ADI],'GELİR İCMAL'!A32)</f>
        <v>0</v>
      </c>
      <c r="D32" s="7"/>
      <c r="E32" s="7"/>
      <c r="F32" s="7"/>
      <c r="G32" s="7"/>
      <c r="H32" s="7"/>
      <c r="I32" s="7"/>
      <c r="J32" s="7"/>
      <c r="K32" s="7"/>
      <c r="L32" s="7"/>
      <c r="M32" s="7"/>
      <c r="N32" s="7">
        <f t="shared" si="0"/>
        <v>0</v>
      </c>
      <c r="O32" s="7"/>
      <c r="P32" s="32">
        <f t="shared" si="1"/>
        <v>0</v>
      </c>
      <c r="Q32" s="11"/>
      <c r="R32" s="12"/>
      <c r="S32" s="12"/>
      <c r="T32" s="12"/>
      <c r="U32" s="12"/>
      <c r="V32" s="12"/>
      <c r="W32" s="12"/>
      <c r="X32" s="12"/>
      <c r="Y32" s="12"/>
      <c r="Z32" s="12"/>
      <c r="AA32" s="12"/>
      <c r="AB32" s="12"/>
    </row>
    <row r="33" spans="1:28" ht="20.100000000000001" customHeight="1" x14ac:dyDescent="0.25">
      <c r="A33" s="6" t="s">
        <v>81</v>
      </c>
      <c r="B33" s="7">
        <f>+SUMIFS(Tablo1710612131618202224[SATIŞ TUTARI],Tablo1710612131618202224[TARİH],"&gt;=01/01/2026",Tablo1710612131618202224[TARİH],"&lt;=31/01/2026",Tablo1710612131618202224[MÜŞTERİ ADI],'GELİR İCMAL'!A33)</f>
        <v>0</v>
      </c>
      <c r="C33" s="7">
        <f>+SUMIFS(Tablo1710612131618202224[SATIŞ TUTARI],Tablo1710612131618202224[TARİH],"&gt;=01/02/2026",Tablo1710612131618202224[TARİH],"&lt;=28/02/2026",Tablo1710612131618202224[MÜŞTERİ ADI],'GELİR İCMAL'!A33)</f>
        <v>0</v>
      </c>
      <c r="D33" s="7"/>
      <c r="E33" s="7"/>
      <c r="F33" s="7"/>
      <c r="G33" s="7"/>
      <c r="H33" s="7"/>
      <c r="I33" s="7"/>
      <c r="J33" s="7"/>
      <c r="K33" s="7"/>
      <c r="L33" s="7"/>
      <c r="M33" s="7"/>
      <c r="N33" s="7">
        <f t="shared" si="0"/>
        <v>0</v>
      </c>
      <c r="O33" s="7"/>
      <c r="P33" s="32">
        <f t="shared" si="1"/>
        <v>0</v>
      </c>
      <c r="Q33" s="11"/>
      <c r="R33" s="12"/>
      <c r="S33" s="12"/>
      <c r="T33" s="12"/>
      <c r="U33" s="12"/>
      <c r="V33" s="12"/>
      <c r="W33" s="12"/>
      <c r="X33" s="12"/>
      <c r="Y33" s="12"/>
      <c r="Z33" s="12"/>
      <c r="AA33" s="12"/>
      <c r="AB33" s="12"/>
    </row>
    <row r="34" spans="1:28" ht="20.100000000000001" customHeight="1" x14ac:dyDescent="0.25">
      <c r="A34" s="6" t="s">
        <v>80</v>
      </c>
      <c r="B34" s="7">
        <f>+SUMIFS(Tablo1710612131618202224[SATIŞ TUTARI],Tablo1710612131618202224[TARİH],"&gt;=01/01/2026",Tablo1710612131618202224[TARİH],"&lt;=31/01/2026",Tablo1710612131618202224[MÜŞTERİ ADI],'GELİR İCMAL'!A34)</f>
        <v>0</v>
      </c>
      <c r="C34" s="7">
        <f>+SUMIFS(Tablo1710612131618202224[SATIŞ TUTARI],Tablo1710612131618202224[TARİH],"&gt;=01/02/2026",Tablo1710612131618202224[TARİH],"&lt;=28/02/2026",Tablo1710612131618202224[MÜŞTERİ ADI],'GELİR İCMAL'!A34)</f>
        <v>0</v>
      </c>
      <c r="D34" s="7"/>
      <c r="E34" s="7"/>
      <c r="F34" s="7"/>
      <c r="G34" s="7"/>
      <c r="H34" s="7"/>
      <c r="I34" s="7"/>
      <c r="J34" s="7"/>
      <c r="K34" s="7"/>
      <c r="L34" s="7"/>
      <c r="M34" s="7"/>
      <c r="N34" s="7">
        <f t="shared" si="0"/>
        <v>0</v>
      </c>
      <c r="O34" s="7"/>
      <c r="P34" s="32">
        <f t="shared" si="1"/>
        <v>0</v>
      </c>
      <c r="Q34" s="11"/>
      <c r="R34" s="12"/>
      <c r="S34" s="12"/>
      <c r="T34" s="12"/>
      <c r="U34" s="12"/>
      <c r="V34" s="12"/>
      <c r="W34" s="12"/>
      <c r="X34" s="12"/>
      <c r="Y34" s="12"/>
      <c r="Z34" s="12"/>
      <c r="AA34" s="12"/>
      <c r="AB34" s="12"/>
    </row>
    <row r="35" spans="1:28" ht="20.100000000000001" customHeight="1" x14ac:dyDescent="0.25">
      <c r="A35" s="6" t="s">
        <v>84</v>
      </c>
      <c r="B35" s="7">
        <f>+SUMIFS(Tablo1710612131618202224[SATIŞ TUTARI],Tablo1710612131618202224[TARİH],"&gt;=01/01/2026",Tablo1710612131618202224[TARİH],"&lt;=31/01/2026",Tablo1710612131618202224[MÜŞTERİ ADI],'GELİR İCMAL'!A35)</f>
        <v>0</v>
      </c>
      <c r="C35" s="7">
        <f>+SUMIFS(Tablo1710612131618202224[SATIŞ TUTARI],Tablo1710612131618202224[TARİH],"&gt;=01/02/2026",Tablo1710612131618202224[TARİH],"&lt;=28/02/2026",Tablo1710612131618202224[MÜŞTERİ ADI],'GELİR İCMAL'!A35)</f>
        <v>0</v>
      </c>
      <c r="D35" s="7"/>
      <c r="E35" s="7"/>
      <c r="F35" s="7"/>
      <c r="G35" s="7"/>
      <c r="H35" s="7"/>
      <c r="I35" s="7"/>
      <c r="J35" s="7"/>
      <c r="K35" s="7"/>
      <c r="L35" s="7"/>
      <c r="M35" s="7"/>
      <c r="N35" s="7">
        <f t="shared" si="0"/>
        <v>0</v>
      </c>
      <c r="O35" s="7"/>
      <c r="P35" s="32">
        <f t="shared" si="1"/>
        <v>0</v>
      </c>
      <c r="Q35" s="11"/>
      <c r="R35" s="12"/>
      <c r="S35" s="12"/>
      <c r="T35" s="12"/>
      <c r="U35" s="12"/>
      <c r="V35" s="12"/>
      <c r="W35" s="12"/>
      <c r="X35" s="12"/>
      <c r="Y35" s="12"/>
      <c r="Z35" s="12"/>
      <c r="AA35" s="12"/>
      <c r="AB35" s="12"/>
    </row>
    <row r="36" spans="1:28" ht="20.100000000000001" customHeight="1" x14ac:dyDescent="0.25">
      <c r="A36" s="6" t="s">
        <v>85</v>
      </c>
      <c r="B36" s="7">
        <f>+SUMIFS(Tablo1710612131618202224[SATIŞ TUTARI],Tablo1710612131618202224[TARİH],"&gt;=01/01/2026",Tablo1710612131618202224[TARİH],"&lt;=31/01/2026",Tablo1710612131618202224[MÜŞTERİ ADI],'GELİR İCMAL'!A36)</f>
        <v>0</v>
      </c>
      <c r="C36" s="7">
        <f>+SUMIFS(Tablo1710612131618202224[SATIŞ TUTARI],Tablo1710612131618202224[TARİH],"&gt;=01/02/2026",Tablo1710612131618202224[TARİH],"&lt;=28/02/2026",Tablo1710612131618202224[MÜŞTERİ ADI],'GELİR İCMAL'!A36)</f>
        <v>0</v>
      </c>
      <c r="D36" s="7"/>
      <c r="E36" s="7"/>
      <c r="F36" s="7"/>
      <c r="G36" s="7"/>
      <c r="H36" s="7"/>
      <c r="I36" s="7"/>
      <c r="J36" s="7"/>
      <c r="K36" s="7"/>
      <c r="L36" s="7"/>
      <c r="M36" s="7"/>
      <c r="N36" s="7">
        <f t="shared" si="0"/>
        <v>0</v>
      </c>
      <c r="O36" s="7"/>
      <c r="P36" s="32">
        <f t="shared" si="1"/>
        <v>0</v>
      </c>
      <c r="Q36" s="11"/>
      <c r="R36" s="12"/>
      <c r="S36" s="12"/>
      <c r="T36" s="12"/>
      <c r="U36" s="12"/>
      <c r="V36" s="12"/>
      <c r="W36" s="12"/>
      <c r="X36" s="12"/>
      <c r="Y36" s="12"/>
      <c r="Z36" s="12"/>
      <c r="AA36" s="12"/>
      <c r="AB36" s="12"/>
    </row>
    <row r="37" spans="1:28" ht="20.100000000000001" customHeight="1" x14ac:dyDescent="0.25">
      <c r="A37" s="6" t="s">
        <v>86</v>
      </c>
      <c r="B37" s="7">
        <f>+SUMIFS(Tablo1710612131618202224[SATIŞ TUTARI],Tablo1710612131618202224[TARİH],"&gt;=01/01/2026",Tablo1710612131618202224[TARİH],"&lt;=31/01/2026",Tablo1710612131618202224[MÜŞTERİ ADI],'GELİR İCMAL'!A37)</f>
        <v>0</v>
      </c>
      <c r="C37" s="7">
        <f>+SUMIFS(Tablo1710612131618202224[SATIŞ TUTARI],Tablo1710612131618202224[TARİH],"&gt;=01/02/2026",Tablo1710612131618202224[TARİH],"&lt;=28/02/2026",Tablo1710612131618202224[MÜŞTERİ ADI],'GELİR İCMAL'!A37)</f>
        <v>0</v>
      </c>
      <c r="D37" s="7"/>
      <c r="E37" s="7"/>
      <c r="F37" s="7"/>
      <c r="G37" s="7"/>
      <c r="H37" s="7"/>
      <c r="I37" s="7"/>
      <c r="J37" s="7"/>
      <c r="K37" s="7"/>
      <c r="L37" s="7"/>
      <c r="M37" s="7"/>
      <c r="N37" s="7">
        <f t="shared" si="0"/>
        <v>0</v>
      </c>
      <c r="O37" s="7"/>
      <c r="P37" s="32">
        <f t="shared" si="1"/>
        <v>0</v>
      </c>
      <c r="Q37" s="11"/>
      <c r="R37" s="12"/>
      <c r="S37" s="12"/>
      <c r="T37" s="12"/>
      <c r="U37" s="12"/>
      <c r="V37" s="12"/>
      <c r="W37" s="12"/>
      <c r="X37" s="12"/>
      <c r="Y37" s="12"/>
      <c r="Z37" s="12"/>
      <c r="AA37" s="12"/>
      <c r="AB37" s="12"/>
    </row>
    <row r="38" spans="1:28" ht="20.100000000000001" customHeight="1" x14ac:dyDescent="0.25">
      <c r="A38" s="6" t="s">
        <v>87</v>
      </c>
      <c r="B38" s="7">
        <f>+SUMIFS(Tablo1710612131618202224[SATIŞ TUTARI],Tablo1710612131618202224[TARİH],"&gt;=01/01/2026",Tablo1710612131618202224[TARİH],"&lt;=31/01/2026",Tablo1710612131618202224[MÜŞTERİ ADI],'GELİR İCMAL'!A38)</f>
        <v>0</v>
      </c>
      <c r="C38" s="7">
        <f>+SUMIFS(Tablo1710612131618202224[SATIŞ TUTARI],Tablo1710612131618202224[TARİH],"&gt;=01/02/2026",Tablo1710612131618202224[TARİH],"&lt;=28/02/2026",Tablo1710612131618202224[MÜŞTERİ ADI],'GELİR İCMAL'!A38)</f>
        <v>0</v>
      </c>
      <c r="D38" s="7"/>
      <c r="E38" s="7"/>
      <c r="F38" s="7"/>
      <c r="G38" s="7"/>
      <c r="H38" s="7"/>
      <c r="I38" s="7"/>
      <c r="J38" s="7"/>
      <c r="K38" s="7"/>
      <c r="L38" s="7"/>
      <c r="M38" s="7"/>
      <c r="N38" s="7">
        <f t="shared" si="0"/>
        <v>0</v>
      </c>
      <c r="O38" s="7"/>
      <c r="P38" s="32">
        <f t="shared" si="1"/>
        <v>0</v>
      </c>
      <c r="Q38" s="11"/>
      <c r="R38" s="12"/>
      <c r="S38" s="12"/>
      <c r="T38" s="12"/>
      <c r="U38" s="12"/>
      <c r="V38" s="12"/>
      <c r="W38" s="12"/>
      <c r="X38" s="12"/>
      <c r="Y38" s="12"/>
      <c r="Z38" s="12"/>
      <c r="AA38" s="12"/>
      <c r="AB38" s="12"/>
    </row>
    <row r="39" spans="1:28" ht="20.100000000000001" customHeight="1" x14ac:dyDescent="0.25">
      <c r="A39" s="6" t="s">
        <v>88</v>
      </c>
      <c r="B39" s="7">
        <f>+SUMIFS(Tablo1710612131618202224[SATIŞ TUTARI],Tablo1710612131618202224[TARİH],"&gt;=01/01/2026",Tablo1710612131618202224[TARİH],"&lt;=31/01/2026",Tablo1710612131618202224[MÜŞTERİ ADI],'GELİR İCMAL'!A39)</f>
        <v>0</v>
      </c>
      <c r="C39" s="7">
        <f>+SUMIFS(Tablo1710612131618202224[SATIŞ TUTARI],Tablo1710612131618202224[TARİH],"&gt;=01/02/2026",Tablo1710612131618202224[TARİH],"&lt;=28/02/2026",Tablo1710612131618202224[MÜŞTERİ ADI],'GELİR İCMAL'!A39)</f>
        <v>0</v>
      </c>
      <c r="D39" s="7"/>
      <c r="E39" s="7"/>
      <c r="F39" s="7"/>
      <c r="G39" s="7"/>
      <c r="H39" s="7"/>
      <c r="I39" s="7"/>
      <c r="J39" s="7"/>
      <c r="K39" s="7"/>
      <c r="L39" s="7"/>
      <c r="M39" s="7"/>
      <c r="N39" s="7">
        <f t="shared" si="0"/>
        <v>0</v>
      </c>
      <c r="O39" s="7"/>
      <c r="P39" s="32">
        <f t="shared" si="1"/>
        <v>0</v>
      </c>
      <c r="Q39" s="11"/>
      <c r="R39" s="12"/>
      <c r="S39" s="12"/>
      <c r="T39" s="12"/>
      <c r="U39" s="12"/>
      <c r="V39" s="12"/>
      <c r="W39" s="12"/>
      <c r="X39" s="12"/>
      <c r="Y39" s="12"/>
      <c r="Z39" s="12"/>
      <c r="AA39" s="12"/>
      <c r="AB39" s="12"/>
    </row>
    <row r="40" spans="1:28" ht="19.5" customHeight="1" x14ac:dyDescent="0.25">
      <c r="A40" s="6" t="s">
        <v>89</v>
      </c>
      <c r="B40" s="7">
        <f>+SUMIFS(Tablo1710612131618202224[SATIŞ TUTARI],Tablo1710612131618202224[TARİH],"&gt;=01/01/2026",Tablo1710612131618202224[TARİH],"&lt;=31/01/2026",Tablo1710612131618202224[MÜŞTERİ ADI],'GELİR İCMAL'!A40)</f>
        <v>0</v>
      </c>
      <c r="C40" s="7">
        <f>+SUMIFS(Tablo1710612131618202224[SATIŞ TUTARI],Tablo1710612131618202224[TARİH],"&gt;=01/02/2026",Tablo1710612131618202224[TARİH],"&lt;=28/02/2026",Tablo1710612131618202224[MÜŞTERİ ADI],'GELİR İCMAL'!A40)</f>
        <v>0</v>
      </c>
      <c r="D40" s="7"/>
      <c r="E40" s="7"/>
      <c r="F40" s="7"/>
      <c r="G40" s="7"/>
      <c r="H40" s="7"/>
      <c r="I40" s="7"/>
      <c r="J40" s="7"/>
      <c r="K40" s="7"/>
      <c r="L40" s="7"/>
      <c r="M40" s="7"/>
      <c r="N40" s="7">
        <f t="shared" si="0"/>
        <v>0</v>
      </c>
      <c r="O40" s="7"/>
      <c r="P40" s="32">
        <f t="shared" si="1"/>
        <v>0</v>
      </c>
      <c r="Q40" s="11"/>
      <c r="R40" s="12"/>
      <c r="S40" s="12"/>
      <c r="T40" s="12"/>
      <c r="U40" s="12"/>
      <c r="V40" s="12"/>
      <c r="W40" s="12"/>
      <c r="X40" s="12"/>
      <c r="Y40" s="12"/>
      <c r="Z40" s="12"/>
      <c r="AA40" s="12"/>
      <c r="AB40" s="12"/>
    </row>
    <row r="41" spans="1:28" ht="20.100000000000001" customHeight="1" x14ac:dyDescent="0.25">
      <c r="A41" s="6" t="s">
        <v>90</v>
      </c>
      <c r="B41" s="7">
        <f>+SUMIFS(Tablo1710612131618202224[SATIŞ TUTARI],Tablo1710612131618202224[TARİH],"&gt;=01/01/2026",Tablo1710612131618202224[TARİH],"&lt;=31/01/2026",Tablo1710612131618202224[MÜŞTERİ ADI],'GELİR İCMAL'!A41)</f>
        <v>0</v>
      </c>
      <c r="C41" s="7">
        <f>+SUMIFS(Tablo1710612131618202224[SATIŞ TUTARI],Tablo1710612131618202224[TARİH],"&gt;=01/02/2026",Tablo1710612131618202224[TARİH],"&lt;=28/02/2026",Tablo1710612131618202224[MÜŞTERİ ADI],'GELİR İCMAL'!A41)</f>
        <v>0</v>
      </c>
      <c r="D41" s="7"/>
      <c r="E41" s="7"/>
      <c r="F41" s="7"/>
      <c r="G41" s="7"/>
      <c r="H41" s="7"/>
      <c r="I41" s="7"/>
      <c r="J41" s="7"/>
      <c r="K41" s="7"/>
      <c r="L41" s="7"/>
      <c r="M41" s="7"/>
      <c r="N41" s="7">
        <f t="shared" si="0"/>
        <v>0</v>
      </c>
      <c r="O41" s="7"/>
      <c r="P41" s="32">
        <f t="shared" si="1"/>
        <v>0</v>
      </c>
      <c r="Q41" s="11"/>
      <c r="R41" s="12"/>
      <c r="S41" s="12"/>
      <c r="T41" s="12"/>
      <c r="U41" s="12"/>
      <c r="V41" s="12"/>
      <c r="W41" s="12"/>
      <c r="X41" s="12"/>
      <c r="Y41" s="12"/>
      <c r="Z41" s="12"/>
      <c r="AA41" s="12"/>
      <c r="AB41" s="12"/>
    </row>
    <row r="42" spans="1:28" ht="20.100000000000001" customHeight="1" x14ac:dyDescent="0.25">
      <c r="A42" s="6" t="s">
        <v>91</v>
      </c>
      <c r="B42" s="7">
        <f>+SUMIFS(Tablo1710612131618202224[SATIŞ TUTARI],Tablo1710612131618202224[TARİH],"&gt;=01/01/2026",Tablo1710612131618202224[TARİH],"&lt;=31/01/2026",Tablo1710612131618202224[MÜŞTERİ ADI],'GELİR İCMAL'!A42)</f>
        <v>0</v>
      </c>
      <c r="C42" s="7">
        <f>+SUMIFS(Tablo1710612131618202224[SATIŞ TUTARI],Tablo1710612131618202224[TARİH],"&gt;=01/02/2026",Tablo1710612131618202224[TARİH],"&lt;=28/02/2026",Tablo1710612131618202224[MÜŞTERİ ADI],'GELİR İCMAL'!A42)</f>
        <v>0</v>
      </c>
      <c r="D42" s="7"/>
      <c r="E42" s="7"/>
      <c r="F42" s="7"/>
      <c r="G42" s="7"/>
      <c r="H42" s="7"/>
      <c r="I42" s="7"/>
      <c r="J42" s="7"/>
      <c r="K42" s="7"/>
      <c r="L42" s="7"/>
      <c r="M42" s="7"/>
      <c r="N42" s="7">
        <f t="shared" si="0"/>
        <v>0</v>
      </c>
      <c r="O42" s="7"/>
      <c r="P42" s="32">
        <f t="shared" si="1"/>
        <v>0</v>
      </c>
      <c r="Q42" s="11"/>
      <c r="R42" s="12"/>
      <c r="S42" s="12"/>
      <c r="T42" s="12"/>
      <c r="U42" s="12"/>
      <c r="V42" s="12"/>
      <c r="W42" s="12"/>
      <c r="X42" s="12"/>
      <c r="Y42" s="12"/>
      <c r="Z42" s="12"/>
      <c r="AA42" s="12"/>
      <c r="AB42" s="12"/>
    </row>
    <row r="43" spans="1:28" ht="20.100000000000001" customHeight="1" x14ac:dyDescent="0.25">
      <c r="A43" s="6" t="s">
        <v>93</v>
      </c>
      <c r="B43" s="7">
        <f>+SUMIFS(Tablo1710612131618202224[SATIŞ TUTARI],Tablo1710612131618202224[TARİH],"&gt;=01/01/2026",Tablo1710612131618202224[TARİH],"&lt;=31/01/2026",Tablo1710612131618202224[MÜŞTERİ ADI],'GELİR İCMAL'!A43)</f>
        <v>0</v>
      </c>
      <c r="C43" s="7">
        <f>+SUMIFS(Tablo1710612131618202224[SATIŞ TUTARI],Tablo1710612131618202224[TARİH],"&gt;=01/02/2026",Tablo1710612131618202224[TARİH],"&lt;=28/02/2026",Tablo1710612131618202224[MÜŞTERİ ADI],'GELİR İCMAL'!A43)</f>
        <v>0</v>
      </c>
      <c r="D43" s="7"/>
      <c r="E43" s="7"/>
      <c r="F43" s="7"/>
      <c r="G43" s="7"/>
      <c r="H43" s="7"/>
      <c r="I43" s="7"/>
      <c r="J43" s="7"/>
      <c r="K43" s="7"/>
      <c r="L43" s="7"/>
      <c r="M43" s="7"/>
      <c r="N43" s="7">
        <f t="shared" si="0"/>
        <v>0</v>
      </c>
      <c r="O43" s="7"/>
      <c r="P43" s="32">
        <f t="shared" si="1"/>
        <v>0</v>
      </c>
      <c r="Q43" s="11"/>
      <c r="R43" s="12"/>
      <c r="S43" s="12"/>
      <c r="T43" s="12"/>
      <c r="U43" s="12"/>
      <c r="V43" s="12"/>
      <c r="W43" s="12"/>
      <c r="X43" s="12"/>
      <c r="Y43" s="12"/>
      <c r="Z43" s="12"/>
      <c r="AA43" s="12"/>
      <c r="AB43" s="12"/>
    </row>
    <row r="44" spans="1:28" ht="20.100000000000001" customHeight="1" x14ac:dyDescent="0.25">
      <c r="A44" s="6" t="s">
        <v>94</v>
      </c>
      <c r="B44" s="7">
        <f>+SUMIFS(Tablo1710612131618202224[SATIŞ TUTARI],Tablo1710612131618202224[TARİH],"&gt;=01/01/2026",Tablo1710612131618202224[TARİH],"&lt;=31/01/2026",Tablo1710612131618202224[MÜŞTERİ ADI],'GELİR İCMAL'!A44)</f>
        <v>0</v>
      </c>
      <c r="C44" s="7">
        <f>+SUMIFS(Tablo1710612131618202224[SATIŞ TUTARI],Tablo1710612131618202224[TARİH],"&gt;=01/02/2026",Tablo1710612131618202224[TARİH],"&lt;=28/02/2026",Tablo1710612131618202224[MÜŞTERİ ADI],'GELİR İCMAL'!A44)</f>
        <v>0</v>
      </c>
      <c r="D44" s="7"/>
      <c r="E44" s="7"/>
      <c r="F44" s="7"/>
      <c r="G44" s="7"/>
      <c r="H44" s="7"/>
      <c r="I44" s="7"/>
      <c r="J44" s="7"/>
      <c r="K44" s="7"/>
      <c r="L44" s="7"/>
      <c r="M44" s="7"/>
      <c r="N44" s="7">
        <f t="shared" si="0"/>
        <v>0</v>
      </c>
      <c r="O44" s="7"/>
      <c r="P44" s="32">
        <f t="shared" si="1"/>
        <v>0</v>
      </c>
      <c r="Q44" s="11"/>
      <c r="R44" s="12"/>
      <c r="S44" s="12"/>
      <c r="T44" s="12"/>
      <c r="U44" s="12"/>
      <c r="V44" s="12"/>
      <c r="W44" s="12"/>
      <c r="X44" s="12"/>
      <c r="Y44" s="12"/>
      <c r="Z44" s="12"/>
      <c r="AA44" s="12"/>
      <c r="AB44" s="12"/>
    </row>
    <row r="45" spans="1:28" ht="20.100000000000001" customHeight="1" x14ac:dyDescent="0.25">
      <c r="A45" s="6" t="s">
        <v>95</v>
      </c>
      <c r="B45" s="7">
        <f>+SUMIFS(Tablo1710612131618202224[SATIŞ TUTARI],Tablo1710612131618202224[TARİH],"&gt;=01/01/2026",Tablo1710612131618202224[TARİH],"&lt;=31/01/2026",Tablo1710612131618202224[MÜŞTERİ ADI],'GELİR İCMAL'!A45)</f>
        <v>0</v>
      </c>
      <c r="C45" s="7">
        <f>+SUMIFS(Tablo1710612131618202224[SATIŞ TUTARI],Tablo1710612131618202224[TARİH],"&gt;=01/02/2026",Tablo1710612131618202224[TARİH],"&lt;=28/02/2026",Tablo1710612131618202224[MÜŞTERİ ADI],'GELİR İCMAL'!A45)</f>
        <v>0</v>
      </c>
      <c r="D45" s="7"/>
      <c r="E45" s="7"/>
      <c r="F45" s="7"/>
      <c r="G45" s="7"/>
      <c r="H45" s="7"/>
      <c r="I45" s="7"/>
      <c r="J45" s="7"/>
      <c r="K45" s="7"/>
      <c r="L45" s="7"/>
      <c r="M45" s="7"/>
      <c r="N45" s="7">
        <f t="shared" si="0"/>
        <v>0</v>
      </c>
      <c r="O45" s="7"/>
      <c r="P45" s="32">
        <f t="shared" si="1"/>
        <v>0</v>
      </c>
      <c r="Q45" s="11"/>
      <c r="R45" s="12"/>
      <c r="S45" s="12"/>
      <c r="T45" s="12"/>
      <c r="U45" s="12"/>
      <c r="V45" s="12"/>
      <c r="W45" s="12"/>
      <c r="X45" s="12"/>
      <c r="Y45" s="12"/>
      <c r="Z45" s="12"/>
      <c r="AA45" s="12"/>
      <c r="AB45" s="12"/>
    </row>
    <row r="46" spans="1:28" ht="20.100000000000001" customHeight="1" x14ac:dyDescent="0.25">
      <c r="A46" s="6" t="s">
        <v>304</v>
      </c>
      <c r="B46" s="7">
        <f>+SUMIFS(Tablo1710612131618202224[SATIŞ TUTARI],Tablo1710612131618202224[TARİH],"&gt;=01/01/2026",Tablo1710612131618202224[TARİH],"&lt;=31/01/2026",Tablo1710612131618202224[MÜŞTERİ ADI],'GELİR İCMAL'!A46)</f>
        <v>0</v>
      </c>
      <c r="C46" s="7">
        <f>+SUMIFS(Tablo1710612131618202224[SATIŞ TUTARI],Tablo1710612131618202224[TARİH],"&gt;=01/02/2026",Tablo1710612131618202224[TARİH],"&lt;=28/02/2026",Tablo1710612131618202224[MÜŞTERİ ADI],'GELİR İCMAL'!A46)</f>
        <v>0</v>
      </c>
      <c r="D46" s="7"/>
      <c r="E46" s="7"/>
      <c r="F46" s="7"/>
      <c r="G46" s="7"/>
      <c r="H46" s="7"/>
      <c r="I46" s="7"/>
      <c r="J46" s="7"/>
      <c r="K46" s="7"/>
      <c r="L46" s="7"/>
      <c r="M46" s="7"/>
      <c r="N46" s="7">
        <f t="shared" si="0"/>
        <v>0</v>
      </c>
      <c r="O46" s="7"/>
      <c r="P46" s="32">
        <f t="shared" si="1"/>
        <v>0</v>
      </c>
      <c r="Q46" s="11"/>
      <c r="R46" s="12"/>
      <c r="S46" s="12"/>
      <c r="T46" s="12"/>
      <c r="U46" s="12"/>
      <c r="V46" s="12"/>
      <c r="W46" s="12"/>
      <c r="X46" s="12"/>
      <c r="Y46" s="12"/>
      <c r="Z46" s="12"/>
      <c r="AA46" s="12"/>
      <c r="AB46" s="12"/>
    </row>
    <row r="47" spans="1:28" ht="20.100000000000001" customHeight="1" x14ac:dyDescent="0.25">
      <c r="A47" s="6" t="s">
        <v>96</v>
      </c>
      <c r="B47" s="7">
        <f>+SUMIFS(Tablo1710612131618202224[SATIŞ TUTARI],Tablo1710612131618202224[TARİH],"&gt;=01/01/2026",Tablo1710612131618202224[TARİH],"&lt;=31/01/2026",Tablo1710612131618202224[MÜŞTERİ ADI],'GELİR İCMAL'!A47)</f>
        <v>0</v>
      </c>
      <c r="C47" s="7">
        <f>+SUMIFS(Tablo1710612131618202224[SATIŞ TUTARI],Tablo1710612131618202224[TARİH],"&gt;=01/02/2026",Tablo1710612131618202224[TARİH],"&lt;=28/02/2026",Tablo1710612131618202224[MÜŞTERİ ADI],'GELİR İCMAL'!A47)</f>
        <v>0</v>
      </c>
      <c r="D47" s="7"/>
      <c r="E47" s="7"/>
      <c r="F47" s="7"/>
      <c r="G47" s="7"/>
      <c r="H47" s="7"/>
      <c r="I47" s="7"/>
      <c r="J47" s="7"/>
      <c r="K47" s="7"/>
      <c r="L47" s="7"/>
      <c r="M47" s="7"/>
      <c r="N47" s="7">
        <f t="shared" si="0"/>
        <v>0</v>
      </c>
      <c r="O47" s="7"/>
      <c r="P47" s="32">
        <f t="shared" si="1"/>
        <v>0</v>
      </c>
      <c r="Q47" s="11"/>
      <c r="R47" s="12"/>
      <c r="S47" s="12"/>
      <c r="T47" s="12"/>
      <c r="U47" s="12"/>
      <c r="V47" s="12"/>
      <c r="W47" s="12"/>
      <c r="X47" s="12"/>
      <c r="Y47" s="12"/>
      <c r="Z47" s="12"/>
      <c r="AA47" s="12"/>
      <c r="AB47" s="12"/>
    </row>
    <row r="48" spans="1:28" ht="20.100000000000001" customHeight="1" x14ac:dyDescent="0.25">
      <c r="A48" s="6" t="s">
        <v>97</v>
      </c>
      <c r="B48" s="7">
        <f>+SUMIFS(Tablo1710612131618202224[SATIŞ TUTARI],Tablo1710612131618202224[TARİH],"&gt;=01/01/2026",Tablo1710612131618202224[TARİH],"&lt;=31/01/2026",Tablo1710612131618202224[MÜŞTERİ ADI],'GELİR İCMAL'!A48)</f>
        <v>0</v>
      </c>
      <c r="C48" s="7">
        <f>+SUMIFS(Tablo1710612131618202224[SATIŞ TUTARI],Tablo1710612131618202224[TARİH],"&gt;=01/02/2026",Tablo1710612131618202224[TARİH],"&lt;=28/02/2026",Tablo1710612131618202224[MÜŞTERİ ADI],'GELİR İCMAL'!A48)</f>
        <v>0</v>
      </c>
      <c r="D48" s="7"/>
      <c r="E48" s="7"/>
      <c r="F48" s="7"/>
      <c r="G48" s="7"/>
      <c r="H48" s="7"/>
      <c r="I48" s="7"/>
      <c r="J48" s="7"/>
      <c r="K48" s="7"/>
      <c r="L48" s="7"/>
      <c r="M48" s="7"/>
      <c r="N48" s="7">
        <f t="shared" si="0"/>
        <v>0</v>
      </c>
      <c r="O48" s="7"/>
      <c r="P48" s="32">
        <f t="shared" si="1"/>
        <v>0</v>
      </c>
      <c r="Q48" s="11"/>
      <c r="R48" s="12"/>
      <c r="S48" s="12"/>
      <c r="T48" s="12"/>
      <c r="U48" s="12"/>
      <c r="V48" s="12"/>
      <c r="W48" s="12"/>
      <c r="X48" s="12"/>
      <c r="Y48" s="12"/>
      <c r="Z48" s="12"/>
      <c r="AA48" s="12"/>
      <c r="AB48" s="12"/>
    </row>
    <row r="49" spans="1:28" ht="20.100000000000001" customHeight="1" x14ac:dyDescent="0.25">
      <c r="A49" s="6" t="s">
        <v>98</v>
      </c>
      <c r="B49" s="7">
        <f>+SUMIFS(Tablo1710612131618202224[SATIŞ TUTARI],Tablo1710612131618202224[TARİH],"&gt;=01/01/2026",Tablo1710612131618202224[TARİH],"&lt;=31/01/2026",Tablo1710612131618202224[MÜŞTERİ ADI],'GELİR İCMAL'!A49)</f>
        <v>0</v>
      </c>
      <c r="C49" s="7">
        <f>+SUMIFS(Tablo1710612131618202224[SATIŞ TUTARI],Tablo1710612131618202224[TARİH],"&gt;=01/02/2026",Tablo1710612131618202224[TARİH],"&lt;=28/02/2026",Tablo1710612131618202224[MÜŞTERİ ADI],'GELİR İCMAL'!A49)</f>
        <v>0</v>
      </c>
      <c r="D49" s="7"/>
      <c r="E49" s="7"/>
      <c r="F49" s="7"/>
      <c r="G49" s="7"/>
      <c r="H49" s="7"/>
      <c r="I49" s="7"/>
      <c r="J49" s="7"/>
      <c r="K49" s="7"/>
      <c r="L49" s="7"/>
      <c r="M49" s="7"/>
      <c r="N49" s="7">
        <f t="shared" si="0"/>
        <v>0</v>
      </c>
      <c r="O49" s="7"/>
      <c r="P49" s="32">
        <f t="shared" si="1"/>
        <v>0</v>
      </c>
      <c r="Q49" s="11"/>
      <c r="R49" s="12"/>
      <c r="S49" s="12"/>
      <c r="T49" s="12"/>
      <c r="U49" s="12"/>
      <c r="V49" s="12"/>
      <c r="W49" s="12"/>
      <c r="X49" s="12"/>
      <c r="Y49" s="12"/>
      <c r="Z49" s="12"/>
      <c r="AA49" s="12"/>
      <c r="AB49" s="12"/>
    </row>
    <row r="50" spans="1:28" ht="20.100000000000001" customHeight="1" x14ac:dyDescent="0.25">
      <c r="A50" s="6" t="s">
        <v>99</v>
      </c>
      <c r="B50" s="7">
        <f>+SUMIFS(Tablo1710612131618202224[SATIŞ TUTARI],Tablo1710612131618202224[TARİH],"&gt;=01/01/2026",Tablo1710612131618202224[TARİH],"&lt;=31/01/2026",Tablo1710612131618202224[MÜŞTERİ ADI],'GELİR İCMAL'!A50)</f>
        <v>0</v>
      </c>
      <c r="C50" s="7">
        <f>+SUMIFS(Tablo1710612131618202224[SATIŞ TUTARI],Tablo1710612131618202224[TARİH],"&gt;=01/02/2026",Tablo1710612131618202224[TARİH],"&lt;=28/02/2026",Tablo1710612131618202224[MÜŞTERİ ADI],'GELİR İCMAL'!A50)</f>
        <v>0</v>
      </c>
      <c r="D50" s="7"/>
      <c r="E50" s="7"/>
      <c r="F50" s="7"/>
      <c r="G50" s="7"/>
      <c r="H50" s="7"/>
      <c r="I50" s="7"/>
      <c r="J50" s="7"/>
      <c r="K50" s="7"/>
      <c r="L50" s="7"/>
      <c r="M50" s="7"/>
      <c r="N50" s="7">
        <f t="shared" si="0"/>
        <v>0</v>
      </c>
      <c r="O50" s="7"/>
      <c r="P50" s="32">
        <f t="shared" si="1"/>
        <v>0</v>
      </c>
      <c r="Q50" s="11"/>
      <c r="R50" s="12"/>
      <c r="S50" s="12"/>
      <c r="T50" s="12"/>
      <c r="U50" s="12"/>
      <c r="V50" s="12"/>
      <c r="W50" s="12"/>
      <c r="X50" s="12"/>
      <c r="Y50" s="12"/>
      <c r="Z50" s="12"/>
      <c r="AA50" s="12"/>
      <c r="AB50" s="12"/>
    </row>
    <row r="51" spans="1:28" ht="20.100000000000001" customHeight="1" x14ac:dyDescent="0.25">
      <c r="A51" s="6" t="s">
        <v>106</v>
      </c>
      <c r="B51" s="7">
        <f>+SUMIFS(Tablo1710612131618202224[SATIŞ TUTARI],Tablo1710612131618202224[TARİH],"&gt;=01/01/2026",Tablo1710612131618202224[TARİH],"&lt;=31/01/2026",Tablo1710612131618202224[MÜŞTERİ ADI],'GELİR İCMAL'!A51)</f>
        <v>0</v>
      </c>
      <c r="C51" s="7">
        <f>+SUMIFS(Tablo1710612131618202224[SATIŞ TUTARI],Tablo1710612131618202224[TARİH],"&gt;=01/02/2026",Tablo1710612131618202224[TARİH],"&lt;=28/02/2026",Tablo1710612131618202224[MÜŞTERİ ADI],'GELİR İCMAL'!A51)</f>
        <v>0</v>
      </c>
      <c r="D51" s="7"/>
      <c r="E51" s="7"/>
      <c r="F51" s="7"/>
      <c r="G51" s="7"/>
      <c r="H51" s="7"/>
      <c r="I51" s="7"/>
      <c r="J51" s="7"/>
      <c r="K51" s="7"/>
      <c r="L51" s="7"/>
      <c r="M51" s="7"/>
      <c r="N51" s="7">
        <f t="shared" si="0"/>
        <v>0</v>
      </c>
      <c r="O51" s="7"/>
      <c r="P51" s="32">
        <f t="shared" si="1"/>
        <v>0</v>
      </c>
      <c r="Q51" s="11"/>
      <c r="R51" s="12"/>
      <c r="S51" s="12"/>
      <c r="T51" s="12"/>
      <c r="U51" s="12"/>
      <c r="V51" s="12"/>
      <c r="W51" s="12"/>
      <c r="X51" s="12"/>
      <c r="Y51" s="12"/>
      <c r="Z51" s="12"/>
      <c r="AA51" s="12"/>
      <c r="AB51" s="12"/>
    </row>
    <row r="52" spans="1:28" ht="20.100000000000001" customHeight="1" x14ac:dyDescent="0.25">
      <c r="A52" s="6" t="s">
        <v>107</v>
      </c>
      <c r="B52" s="7">
        <f>+SUMIFS(Tablo1710612131618202224[SATIŞ TUTARI],Tablo1710612131618202224[TARİH],"&gt;=01/01/2026",Tablo1710612131618202224[TARİH],"&lt;=31/01/2026",Tablo1710612131618202224[MÜŞTERİ ADI],'GELİR İCMAL'!A52)</f>
        <v>0</v>
      </c>
      <c r="C52" s="7">
        <f>+SUMIFS(Tablo1710612131618202224[SATIŞ TUTARI],Tablo1710612131618202224[TARİH],"&gt;=01/02/2026",Tablo1710612131618202224[TARİH],"&lt;=28/02/2026",Tablo1710612131618202224[MÜŞTERİ ADI],'GELİR İCMAL'!A52)</f>
        <v>0</v>
      </c>
      <c r="D52" s="7"/>
      <c r="E52" s="7"/>
      <c r="F52" s="7"/>
      <c r="G52" s="7"/>
      <c r="H52" s="7"/>
      <c r="I52" s="7"/>
      <c r="J52" s="7"/>
      <c r="K52" s="7"/>
      <c r="L52" s="7"/>
      <c r="M52" s="7"/>
      <c r="N52" s="7">
        <f t="shared" si="0"/>
        <v>0</v>
      </c>
      <c r="O52" s="7"/>
      <c r="P52" s="32">
        <f t="shared" si="1"/>
        <v>0</v>
      </c>
      <c r="Q52" s="11"/>
      <c r="R52" s="12"/>
      <c r="S52" s="12"/>
      <c r="T52" s="12"/>
      <c r="U52" s="12"/>
      <c r="V52" s="12"/>
      <c r="W52" s="12"/>
      <c r="X52" s="12"/>
      <c r="Y52" s="12"/>
      <c r="Z52" s="12"/>
      <c r="AA52" s="12"/>
      <c r="AB52" s="12"/>
    </row>
    <row r="53" spans="1:28" ht="20.100000000000001" customHeight="1" x14ac:dyDescent="0.25">
      <c r="A53" s="6" t="s">
        <v>110</v>
      </c>
      <c r="B53" s="7">
        <f>+SUMIFS(Tablo1710612131618202224[SATIŞ TUTARI],Tablo1710612131618202224[TARİH],"&gt;=01/01/2026",Tablo1710612131618202224[TARİH],"&lt;=31/01/2026",Tablo1710612131618202224[MÜŞTERİ ADI],'GELİR İCMAL'!A53)</f>
        <v>0</v>
      </c>
      <c r="C53" s="7">
        <f>+SUMIFS(Tablo1710612131618202224[SATIŞ TUTARI],Tablo1710612131618202224[TARİH],"&gt;=01/02/2026",Tablo1710612131618202224[TARİH],"&lt;=28/02/2026",Tablo1710612131618202224[MÜŞTERİ ADI],'GELİR İCMAL'!A53)</f>
        <v>0</v>
      </c>
      <c r="D53" s="7"/>
      <c r="E53" s="7"/>
      <c r="F53" s="7"/>
      <c r="G53" s="7"/>
      <c r="H53" s="7"/>
      <c r="I53" s="7"/>
      <c r="J53" s="7"/>
      <c r="K53" s="7"/>
      <c r="L53" s="7"/>
      <c r="M53" s="7"/>
      <c r="N53" s="7">
        <f t="shared" si="0"/>
        <v>0</v>
      </c>
      <c r="O53" s="7"/>
      <c r="P53" s="32">
        <f t="shared" si="1"/>
        <v>0</v>
      </c>
      <c r="Q53" s="11"/>
      <c r="R53" s="12"/>
      <c r="S53" s="12"/>
      <c r="T53" s="12"/>
      <c r="U53" s="12"/>
      <c r="V53" s="12"/>
      <c r="W53" s="12"/>
      <c r="X53" s="12"/>
      <c r="Y53" s="12"/>
      <c r="Z53" s="12"/>
      <c r="AA53" s="12"/>
      <c r="AB53" s="12"/>
    </row>
    <row r="54" spans="1:28" ht="20.100000000000001" customHeight="1" x14ac:dyDescent="0.25">
      <c r="A54" s="6" t="s">
        <v>111</v>
      </c>
      <c r="B54" s="7">
        <f>+SUMIFS(Tablo1710612131618202224[SATIŞ TUTARI],Tablo1710612131618202224[TARİH],"&gt;=01/01/2026",Tablo1710612131618202224[TARİH],"&lt;=31/01/2026",Tablo1710612131618202224[MÜŞTERİ ADI],'GELİR İCMAL'!A54)</f>
        <v>0</v>
      </c>
      <c r="C54" s="7">
        <f>+SUMIFS(Tablo1710612131618202224[SATIŞ TUTARI],Tablo1710612131618202224[TARİH],"&gt;=01/02/2026",Tablo1710612131618202224[TARİH],"&lt;=28/02/2026",Tablo1710612131618202224[MÜŞTERİ ADI],'GELİR İCMAL'!A54)</f>
        <v>0</v>
      </c>
      <c r="D54" s="7"/>
      <c r="E54" s="7"/>
      <c r="F54" s="7"/>
      <c r="G54" s="7"/>
      <c r="H54" s="7"/>
      <c r="I54" s="7"/>
      <c r="J54" s="7"/>
      <c r="K54" s="7"/>
      <c r="L54" s="7"/>
      <c r="M54" s="7"/>
      <c r="N54" s="7">
        <f t="shared" si="0"/>
        <v>0</v>
      </c>
      <c r="O54" s="7"/>
      <c r="P54" s="32">
        <f t="shared" si="1"/>
        <v>0</v>
      </c>
      <c r="Q54" s="11"/>
      <c r="R54" s="12"/>
      <c r="S54" s="12"/>
      <c r="T54" s="12"/>
      <c r="U54" s="12"/>
      <c r="V54" s="12"/>
      <c r="W54" s="12"/>
      <c r="X54" s="12"/>
      <c r="Y54" s="12"/>
      <c r="Z54" s="12"/>
      <c r="AA54" s="12"/>
      <c r="AB54" s="12"/>
    </row>
    <row r="55" spans="1:28" ht="20.100000000000001" customHeight="1" x14ac:dyDescent="0.25">
      <c r="A55" s="6" t="s">
        <v>112</v>
      </c>
      <c r="B55" s="7">
        <f>+SUMIFS(Tablo1710612131618202224[SATIŞ TUTARI],Tablo1710612131618202224[TARİH],"&gt;=01/01/2026",Tablo1710612131618202224[TARİH],"&lt;=31/01/2026",Tablo1710612131618202224[MÜŞTERİ ADI],'GELİR İCMAL'!A55)</f>
        <v>0</v>
      </c>
      <c r="C55" s="7">
        <f>+SUMIFS(Tablo1710612131618202224[SATIŞ TUTARI],Tablo1710612131618202224[TARİH],"&gt;=01/02/2026",Tablo1710612131618202224[TARİH],"&lt;=28/02/2026",Tablo1710612131618202224[MÜŞTERİ ADI],'GELİR İCMAL'!A55)</f>
        <v>0</v>
      </c>
      <c r="D55" s="7"/>
      <c r="E55" s="7"/>
      <c r="F55" s="7"/>
      <c r="G55" s="7"/>
      <c r="H55" s="7"/>
      <c r="I55" s="7"/>
      <c r="J55" s="7"/>
      <c r="K55" s="7"/>
      <c r="L55" s="7"/>
      <c r="M55" s="7"/>
      <c r="N55" s="7">
        <f t="shared" si="0"/>
        <v>0</v>
      </c>
      <c r="O55" s="7"/>
      <c r="P55" s="32">
        <f t="shared" si="1"/>
        <v>0</v>
      </c>
      <c r="Q55" s="11"/>
      <c r="R55" s="12"/>
      <c r="S55" s="12"/>
      <c r="T55" s="12"/>
      <c r="U55" s="12"/>
      <c r="V55" s="12"/>
      <c r="W55" s="12"/>
      <c r="X55" s="12"/>
      <c r="Y55" s="12"/>
      <c r="Z55" s="12"/>
      <c r="AA55" s="12"/>
      <c r="AB55" s="12"/>
    </row>
    <row r="56" spans="1:28" ht="20.100000000000001" customHeight="1" x14ac:dyDescent="0.25">
      <c r="A56" s="6" t="s">
        <v>113</v>
      </c>
      <c r="B56" s="7">
        <f>+SUMIFS(Tablo1710612131618202224[SATIŞ TUTARI],Tablo1710612131618202224[TARİH],"&gt;=01/01/2026",Tablo1710612131618202224[TARİH],"&lt;=31/01/2026",Tablo1710612131618202224[MÜŞTERİ ADI],'GELİR İCMAL'!A56)</f>
        <v>0</v>
      </c>
      <c r="C56" s="7">
        <f>+SUMIFS(Tablo1710612131618202224[SATIŞ TUTARI],Tablo1710612131618202224[TARİH],"&gt;=01/02/2026",Tablo1710612131618202224[TARİH],"&lt;=28/02/2026",Tablo1710612131618202224[MÜŞTERİ ADI],'GELİR İCMAL'!A56)</f>
        <v>0</v>
      </c>
      <c r="D56" s="7"/>
      <c r="E56" s="7"/>
      <c r="F56" s="7"/>
      <c r="G56" s="7"/>
      <c r="H56" s="7"/>
      <c r="I56" s="7"/>
      <c r="J56" s="7"/>
      <c r="K56" s="7"/>
      <c r="L56" s="7"/>
      <c r="M56" s="7"/>
      <c r="N56" s="7">
        <f t="shared" si="0"/>
        <v>0</v>
      </c>
      <c r="O56" s="7"/>
      <c r="P56" s="32">
        <f t="shared" si="1"/>
        <v>0</v>
      </c>
      <c r="Q56" s="11"/>
      <c r="R56" s="12"/>
      <c r="S56" s="12"/>
      <c r="T56" s="12"/>
      <c r="U56" s="12"/>
      <c r="V56" s="12"/>
      <c r="W56" s="12"/>
      <c r="X56" s="12"/>
      <c r="Y56" s="12"/>
      <c r="Z56" s="12"/>
      <c r="AA56" s="12"/>
      <c r="AB56" s="12"/>
    </row>
    <row r="57" spans="1:28" ht="20.100000000000001" customHeight="1" x14ac:dyDescent="0.25">
      <c r="A57" s="6" t="s">
        <v>114</v>
      </c>
      <c r="B57" s="7">
        <f>+SUMIFS(Tablo1710612131618202224[SATIŞ TUTARI],Tablo1710612131618202224[TARİH],"&gt;=01/01/2026",Tablo1710612131618202224[TARİH],"&lt;=31/01/2026",Tablo1710612131618202224[MÜŞTERİ ADI],'GELİR İCMAL'!A57)</f>
        <v>0</v>
      </c>
      <c r="C57" s="7">
        <f>+SUMIFS(Tablo1710612131618202224[SATIŞ TUTARI],Tablo1710612131618202224[TARİH],"&gt;=01/02/2026",Tablo1710612131618202224[TARİH],"&lt;=28/02/2026",Tablo1710612131618202224[MÜŞTERİ ADI],'GELİR İCMAL'!A57)</f>
        <v>0</v>
      </c>
      <c r="D57" s="7"/>
      <c r="E57" s="7"/>
      <c r="F57" s="7"/>
      <c r="G57" s="7"/>
      <c r="H57" s="7"/>
      <c r="I57" s="7"/>
      <c r="J57" s="7"/>
      <c r="K57" s="7"/>
      <c r="L57" s="7"/>
      <c r="M57" s="7"/>
      <c r="N57" s="7">
        <f t="shared" si="0"/>
        <v>0</v>
      </c>
      <c r="O57" s="7"/>
      <c r="P57" s="32">
        <f t="shared" si="1"/>
        <v>0</v>
      </c>
      <c r="Q57" s="11"/>
      <c r="R57" s="12"/>
      <c r="S57" s="12"/>
      <c r="T57" s="12"/>
      <c r="U57" s="12"/>
      <c r="V57" s="12"/>
      <c r="W57" s="12"/>
      <c r="X57" s="12"/>
      <c r="Y57" s="12"/>
      <c r="Z57" s="12"/>
      <c r="AA57" s="12"/>
      <c r="AB57" s="12"/>
    </row>
    <row r="58" spans="1:28" ht="20.100000000000001" customHeight="1" x14ac:dyDescent="0.25">
      <c r="A58" s="6" t="s">
        <v>115</v>
      </c>
      <c r="B58" s="7">
        <f>+SUMIFS(Tablo1710612131618202224[SATIŞ TUTARI],Tablo1710612131618202224[TARİH],"&gt;=01/01/2026",Tablo1710612131618202224[TARİH],"&lt;=31/01/2026",Tablo1710612131618202224[MÜŞTERİ ADI],'GELİR İCMAL'!A58)</f>
        <v>0</v>
      </c>
      <c r="C58" s="7">
        <f>+SUMIFS(Tablo1710612131618202224[SATIŞ TUTARI],Tablo1710612131618202224[TARİH],"&gt;=01/02/2026",Tablo1710612131618202224[TARİH],"&lt;=28/02/2026",Tablo1710612131618202224[MÜŞTERİ ADI],'GELİR İCMAL'!A58)</f>
        <v>0</v>
      </c>
      <c r="D58" s="7"/>
      <c r="E58" s="7"/>
      <c r="F58" s="7"/>
      <c r="G58" s="7"/>
      <c r="H58" s="7"/>
      <c r="I58" s="7"/>
      <c r="J58" s="7"/>
      <c r="K58" s="7"/>
      <c r="L58" s="7"/>
      <c r="M58" s="7"/>
      <c r="N58" s="7">
        <f t="shared" si="0"/>
        <v>0</v>
      </c>
      <c r="O58" s="7"/>
      <c r="P58" s="32">
        <f t="shared" si="1"/>
        <v>0</v>
      </c>
      <c r="Q58" s="11"/>
      <c r="R58" s="12"/>
      <c r="S58" s="12"/>
      <c r="T58" s="12"/>
      <c r="U58" s="12"/>
      <c r="V58" s="12"/>
      <c r="W58" s="12"/>
      <c r="X58" s="12"/>
      <c r="Y58" s="12"/>
      <c r="Z58" s="12"/>
      <c r="AA58" s="12"/>
      <c r="AB58" s="12"/>
    </row>
    <row r="59" spans="1:28" ht="20.100000000000001" customHeight="1" x14ac:dyDescent="0.25">
      <c r="A59" s="6" t="s">
        <v>116</v>
      </c>
      <c r="B59" s="7">
        <f>+SUMIFS(Tablo1710612131618202224[SATIŞ TUTARI],Tablo1710612131618202224[TARİH],"&gt;=01/01/2026",Tablo1710612131618202224[TARİH],"&lt;=31/01/2026",Tablo1710612131618202224[MÜŞTERİ ADI],'GELİR İCMAL'!A59)</f>
        <v>0</v>
      </c>
      <c r="C59" s="7">
        <f>+SUMIFS(Tablo1710612131618202224[SATIŞ TUTARI],Tablo1710612131618202224[TARİH],"&gt;=01/02/2026",Tablo1710612131618202224[TARİH],"&lt;=28/02/2026",Tablo1710612131618202224[MÜŞTERİ ADI],'GELİR İCMAL'!A59)</f>
        <v>0</v>
      </c>
      <c r="D59" s="7"/>
      <c r="E59" s="7"/>
      <c r="F59" s="7"/>
      <c r="G59" s="7"/>
      <c r="H59" s="7"/>
      <c r="I59" s="7"/>
      <c r="J59" s="7"/>
      <c r="K59" s="7"/>
      <c r="L59" s="7"/>
      <c r="M59" s="7"/>
      <c r="N59" s="7">
        <f t="shared" si="0"/>
        <v>0</v>
      </c>
      <c r="O59" s="7"/>
      <c r="P59" s="32">
        <f t="shared" si="1"/>
        <v>0</v>
      </c>
      <c r="Q59" s="11"/>
      <c r="R59" s="12"/>
      <c r="S59" s="12"/>
      <c r="T59" s="12"/>
      <c r="U59" s="12"/>
      <c r="V59" s="12"/>
      <c r="W59" s="12"/>
      <c r="X59" s="12"/>
      <c r="Y59" s="12"/>
      <c r="Z59" s="12"/>
      <c r="AA59" s="12"/>
      <c r="AB59" s="12"/>
    </row>
    <row r="60" spans="1:28" ht="20.100000000000001" customHeight="1" x14ac:dyDescent="0.25">
      <c r="A60" s="6" t="s">
        <v>117</v>
      </c>
      <c r="B60" s="7">
        <f>+SUMIFS(Tablo1710612131618202224[SATIŞ TUTARI],Tablo1710612131618202224[TARİH],"&gt;=01/01/2026",Tablo1710612131618202224[TARİH],"&lt;=31/01/2026",Tablo1710612131618202224[MÜŞTERİ ADI],'GELİR İCMAL'!A60)</f>
        <v>0</v>
      </c>
      <c r="C60" s="7">
        <f>+SUMIFS(Tablo1710612131618202224[SATIŞ TUTARI],Tablo1710612131618202224[TARİH],"&gt;=01/02/2026",Tablo1710612131618202224[TARİH],"&lt;=28/02/2026",Tablo1710612131618202224[MÜŞTERİ ADI],'GELİR İCMAL'!A60)</f>
        <v>0</v>
      </c>
      <c r="D60" s="7"/>
      <c r="E60" s="7"/>
      <c r="F60" s="7"/>
      <c r="G60" s="7"/>
      <c r="H60" s="7"/>
      <c r="I60" s="7"/>
      <c r="J60" s="7"/>
      <c r="K60" s="7"/>
      <c r="L60" s="7"/>
      <c r="M60" s="7"/>
      <c r="N60" s="7">
        <f t="shared" si="0"/>
        <v>0</v>
      </c>
      <c r="O60" s="7"/>
      <c r="P60" s="32">
        <f t="shared" si="1"/>
        <v>0</v>
      </c>
      <c r="Q60" s="11"/>
      <c r="R60" s="12"/>
      <c r="S60" s="12"/>
      <c r="T60" s="12"/>
      <c r="U60" s="12"/>
      <c r="V60" s="12"/>
      <c r="W60" s="12"/>
      <c r="X60" s="12"/>
      <c r="Y60" s="12"/>
      <c r="Z60" s="12"/>
      <c r="AA60" s="12"/>
      <c r="AB60" s="12"/>
    </row>
    <row r="61" spans="1:28" ht="20.100000000000001" customHeight="1" x14ac:dyDescent="0.25">
      <c r="A61" s="6" t="s">
        <v>118</v>
      </c>
      <c r="B61" s="7">
        <f>+SUMIFS(Tablo1710612131618202224[SATIŞ TUTARI],Tablo1710612131618202224[TARİH],"&gt;=01/01/2026",Tablo1710612131618202224[TARİH],"&lt;=31/01/2026",Tablo1710612131618202224[MÜŞTERİ ADI],'GELİR İCMAL'!A61)</f>
        <v>0</v>
      </c>
      <c r="C61" s="7">
        <f>+SUMIFS(Tablo1710612131618202224[SATIŞ TUTARI],Tablo1710612131618202224[TARİH],"&gt;=01/02/2026",Tablo1710612131618202224[TARİH],"&lt;=28/02/2026",Tablo1710612131618202224[MÜŞTERİ ADI],'GELİR İCMAL'!A61)</f>
        <v>0</v>
      </c>
      <c r="D61" s="7"/>
      <c r="E61" s="7"/>
      <c r="F61" s="7"/>
      <c r="G61" s="7"/>
      <c r="H61" s="7"/>
      <c r="I61" s="7"/>
      <c r="J61" s="7"/>
      <c r="K61" s="7"/>
      <c r="L61" s="7"/>
      <c r="M61" s="7"/>
      <c r="N61" s="7">
        <f t="shared" si="0"/>
        <v>0</v>
      </c>
      <c r="O61" s="7"/>
      <c r="P61" s="32">
        <f t="shared" si="1"/>
        <v>0</v>
      </c>
      <c r="Q61" s="11"/>
      <c r="R61" s="12"/>
      <c r="S61" s="12"/>
      <c r="T61" s="12"/>
      <c r="U61" s="12"/>
      <c r="V61" s="12"/>
      <c r="W61" s="12"/>
      <c r="X61" s="12"/>
      <c r="Y61" s="12"/>
      <c r="Z61" s="12"/>
      <c r="AA61" s="12"/>
      <c r="AB61" s="12"/>
    </row>
    <row r="62" spans="1:28" ht="20.100000000000001" customHeight="1" x14ac:dyDescent="0.25">
      <c r="A62" s="6" t="s">
        <v>119</v>
      </c>
      <c r="B62" s="7">
        <f>+SUMIFS(Tablo1710612131618202224[SATIŞ TUTARI],Tablo1710612131618202224[TARİH],"&gt;=01/01/2026",Tablo1710612131618202224[TARİH],"&lt;=31/01/2026",Tablo1710612131618202224[MÜŞTERİ ADI],'GELİR İCMAL'!A62)</f>
        <v>0</v>
      </c>
      <c r="C62" s="7">
        <f>+SUMIFS(Tablo1710612131618202224[SATIŞ TUTARI],Tablo1710612131618202224[TARİH],"&gt;=01/02/2026",Tablo1710612131618202224[TARİH],"&lt;=28/02/2026",Tablo1710612131618202224[MÜŞTERİ ADI],'GELİR İCMAL'!A62)</f>
        <v>0</v>
      </c>
      <c r="D62" s="7"/>
      <c r="E62" s="7"/>
      <c r="F62" s="7"/>
      <c r="G62" s="7"/>
      <c r="H62" s="7"/>
      <c r="I62" s="7"/>
      <c r="J62" s="7"/>
      <c r="K62" s="7"/>
      <c r="L62" s="7"/>
      <c r="M62" s="7"/>
      <c r="N62" s="7">
        <f t="shared" si="0"/>
        <v>0</v>
      </c>
      <c r="O62" s="7"/>
      <c r="P62" s="32">
        <f t="shared" si="1"/>
        <v>0</v>
      </c>
      <c r="Q62" s="11"/>
      <c r="R62" s="12"/>
      <c r="S62" s="12"/>
      <c r="T62" s="12"/>
      <c r="U62" s="12"/>
      <c r="V62" s="12"/>
      <c r="W62" s="12"/>
      <c r="X62" s="12"/>
      <c r="Y62" s="12"/>
      <c r="Z62" s="12"/>
      <c r="AA62" s="12"/>
      <c r="AB62" s="12"/>
    </row>
    <row r="63" spans="1:28" ht="20.100000000000001" customHeight="1" x14ac:dyDescent="0.25">
      <c r="A63" s="6" t="s">
        <v>120</v>
      </c>
      <c r="B63" s="7">
        <f>+SUMIFS(Tablo1710612131618202224[SATIŞ TUTARI],Tablo1710612131618202224[TARİH],"&gt;=01/01/2026",Tablo1710612131618202224[TARİH],"&lt;=31/01/2026",Tablo1710612131618202224[MÜŞTERİ ADI],'GELİR İCMAL'!A63)</f>
        <v>0</v>
      </c>
      <c r="C63" s="7">
        <f>+SUMIFS(Tablo1710612131618202224[SATIŞ TUTARI],Tablo1710612131618202224[TARİH],"&gt;=01/02/2026",Tablo1710612131618202224[TARİH],"&lt;=28/02/2026",Tablo1710612131618202224[MÜŞTERİ ADI],'GELİR İCMAL'!A63)</f>
        <v>0</v>
      </c>
      <c r="D63" s="7"/>
      <c r="E63" s="7"/>
      <c r="F63" s="7"/>
      <c r="G63" s="7"/>
      <c r="H63" s="7"/>
      <c r="I63" s="7"/>
      <c r="J63" s="7"/>
      <c r="K63" s="7"/>
      <c r="L63" s="7"/>
      <c r="M63" s="7"/>
      <c r="N63" s="7">
        <f t="shared" si="0"/>
        <v>0</v>
      </c>
      <c r="O63" s="7"/>
      <c r="P63" s="32">
        <f t="shared" si="1"/>
        <v>0</v>
      </c>
      <c r="Q63" s="11"/>
      <c r="R63" s="12"/>
      <c r="S63" s="12"/>
      <c r="T63" s="12"/>
      <c r="U63" s="12"/>
      <c r="V63" s="12"/>
      <c r="W63" s="12"/>
      <c r="X63" s="12"/>
      <c r="Y63" s="12"/>
      <c r="Z63" s="12"/>
      <c r="AA63" s="12"/>
      <c r="AB63" s="12"/>
    </row>
    <row r="64" spans="1:28" ht="20.100000000000001" customHeight="1" x14ac:dyDescent="0.25">
      <c r="A64" s="6" t="s">
        <v>121</v>
      </c>
      <c r="B64" s="7">
        <f>+SUMIFS(Tablo1710612131618202224[SATIŞ TUTARI],Tablo1710612131618202224[TARİH],"&gt;=01/01/2026",Tablo1710612131618202224[TARİH],"&lt;=31/01/2026",Tablo1710612131618202224[MÜŞTERİ ADI],'GELİR İCMAL'!A64)</f>
        <v>0</v>
      </c>
      <c r="C64" s="7">
        <f>+SUMIFS(Tablo1710612131618202224[SATIŞ TUTARI],Tablo1710612131618202224[TARİH],"&gt;=01/02/2026",Tablo1710612131618202224[TARİH],"&lt;=28/02/2026",Tablo1710612131618202224[MÜŞTERİ ADI],'GELİR İCMAL'!A64)</f>
        <v>0</v>
      </c>
      <c r="D64" s="7"/>
      <c r="E64" s="7"/>
      <c r="F64" s="7"/>
      <c r="G64" s="7"/>
      <c r="H64" s="7"/>
      <c r="I64" s="7"/>
      <c r="J64" s="7"/>
      <c r="K64" s="7"/>
      <c r="L64" s="7"/>
      <c r="M64" s="7"/>
      <c r="N64" s="7">
        <f t="shared" si="0"/>
        <v>0</v>
      </c>
      <c r="O64" s="7"/>
      <c r="P64" s="32">
        <f t="shared" si="1"/>
        <v>0</v>
      </c>
      <c r="Q64" s="11"/>
      <c r="R64" s="12"/>
      <c r="S64" s="12"/>
      <c r="T64" s="12"/>
      <c r="U64" s="12"/>
      <c r="V64" s="12"/>
      <c r="W64" s="12"/>
      <c r="X64" s="12"/>
      <c r="Y64" s="12"/>
      <c r="Z64" s="12"/>
      <c r="AA64" s="12"/>
      <c r="AB64" s="12"/>
    </row>
    <row r="65" spans="1:28" ht="20.100000000000001" customHeight="1" x14ac:dyDescent="0.25">
      <c r="A65" s="6" t="s">
        <v>122</v>
      </c>
      <c r="B65" s="7">
        <f>+SUMIFS(Tablo1710612131618202224[SATIŞ TUTARI],Tablo1710612131618202224[TARİH],"&gt;=01/01/2026",Tablo1710612131618202224[TARİH],"&lt;=31/01/2026",Tablo1710612131618202224[MÜŞTERİ ADI],'GELİR İCMAL'!A65)</f>
        <v>0</v>
      </c>
      <c r="C65" s="7">
        <f>+SUMIFS(Tablo1710612131618202224[SATIŞ TUTARI],Tablo1710612131618202224[TARİH],"&gt;=01/02/2026",Tablo1710612131618202224[TARİH],"&lt;=28/02/2026",Tablo1710612131618202224[MÜŞTERİ ADI],'GELİR İCMAL'!A65)</f>
        <v>0</v>
      </c>
      <c r="D65" s="7"/>
      <c r="E65" s="7"/>
      <c r="F65" s="7"/>
      <c r="G65" s="7"/>
      <c r="H65" s="7"/>
      <c r="I65" s="7"/>
      <c r="J65" s="7"/>
      <c r="K65" s="7"/>
      <c r="L65" s="7"/>
      <c r="M65" s="7"/>
      <c r="N65" s="7">
        <f t="shared" si="0"/>
        <v>0</v>
      </c>
      <c r="O65" s="7"/>
      <c r="P65" s="32">
        <f t="shared" si="1"/>
        <v>0</v>
      </c>
      <c r="Q65" s="11"/>
      <c r="R65" s="12"/>
      <c r="S65" s="12"/>
      <c r="T65" s="12"/>
      <c r="U65" s="12"/>
      <c r="V65" s="12"/>
      <c r="W65" s="12"/>
      <c r="X65" s="12"/>
      <c r="Y65" s="12"/>
      <c r="Z65" s="12"/>
      <c r="AA65" s="12"/>
      <c r="AB65" s="12"/>
    </row>
    <row r="66" spans="1:28" ht="20.100000000000001" customHeight="1" x14ac:dyDescent="0.25">
      <c r="A66" s="6" t="s">
        <v>123</v>
      </c>
      <c r="B66" s="7">
        <f>+SUMIFS(Tablo1710612131618202224[SATIŞ TUTARI],Tablo1710612131618202224[TARİH],"&gt;=01/01/2026",Tablo1710612131618202224[TARİH],"&lt;=31/01/2026",Tablo1710612131618202224[MÜŞTERİ ADI],'GELİR İCMAL'!A66)</f>
        <v>0</v>
      </c>
      <c r="C66" s="7">
        <f>+SUMIFS(Tablo1710612131618202224[SATIŞ TUTARI],Tablo1710612131618202224[TARİH],"&gt;=01/02/2026",Tablo1710612131618202224[TARİH],"&lt;=28/02/2026",Tablo1710612131618202224[MÜŞTERİ ADI],'GELİR İCMAL'!A66)</f>
        <v>0</v>
      </c>
      <c r="D66" s="7"/>
      <c r="E66" s="7"/>
      <c r="F66" s="7"/>
      <c r="G66" s="7"/>
      <c r="H66" s="7"/>
      <c r="I66" s="7"/>
      <c r="J66" s="7"/>
      <c r="K66" s="7"/>
      <c r="L66" s="7"/>
      <c r="M66" s="7"/>
      <c r="N66" s="7">
        <f t="shared" si="0"/>
        <v>0</v>
      </c>
      <c r="O66" s="7"/>
      <c r="P66" s="32">
        <f t="shared" si="1"/>
        <v>0</v>
      </c>
      <c r="Q66" s="11"/>
      <c r="R66" s="12"/>
      <c r="S66" s="12"/>
      <c r="T66" s="12"/>
      <c r="U66" s="12"/>
      <c r="V66" s="12"/>
      <c r="W66" s="12"/>
      <c r="X66" s="12"/>
      <c r="Y66" s="12"/>
      <c r="Z66" s="12"/>
      <c r="AA66" s="12"/>
      <c r="AB66" s="12"/>
    </row>
    <row r="67" spans="1:28" ht="20.100000000000001" customHeight="1" x14ac:dyDescent="0.25">
      <c r="A67" s="6" t="s">
        <v>124</v>
      </c>
      <c r="B67" s="7">
        <f>+SUMIFS(Tablo1710612131618202224[SATIŞ TUTARI],Tablo1710612131618202224[TARİH],"&gt;=01/01/2026",Tablo1710612131618202224[TARİH],"&lt;=31/01/2026",Tablo1710612131618202224[MÜŞTERİ ADI],'GELİR İCMAL'!A67)</f>
        <v>0</v>
      </c>
      <c r="C67" s="7">
        <f>+SUMIFS(Tablo1710612131618202224[SATIŞ TUTARI],Tablo1710612131618202224[TARİH],"&gt;=01/02/2026",Tablo1710612131618202224[TARİH],"&lt;=28/02/2026",Tablo1710612131618202224[MÜŞTERİ ADI],'GELİR İCMAL'!A67)</f>
        <v>0</v>
      </c>
      <c r="D67" s="7"/>
      <c r="E67" s="7"/>
      <c r="F67" s="7"/>
      <c r="G67" s="7"/>
      <c r="H67" s="7"/>
      <c r="I67" s="7"/>
      <c r="J67" s="7"/>
      <c r="K67" s="7"/>
      <c r="L67" s="7"/>
      <c r="M67" s="7"/>
      <c r="N67" s="7">
        <f t="shared" ref="N67:N121" si="2">+SUM(B67:M67)</f>
        <v>0</v>
      </c>
      <c r="O67" s="7"/>
      <c r="P67" s="32">
        <f t="shared" si="1"/>
        <v>0</v>
      </c>
      <c r="Q67" s="11"/>
      <c r="R67" s="12"/>
      <c r="S67" s="12"/>
      <c r="T67" s="12"/>
      <c r="U67" s="12"/>
      <c r="V67" s="12"/>
      <c r="W67" s="12"/>
      <c r="X67" s="12"/>
      <c r="Y67" s="12"/>
      <c r="Z67" s="12"/>
      <c r="AA67" s="12"/>
      <c r="AB67" s="12"/>
    </row>
    <row r="68" spans="1:28" ht="20.100000000000001" customHeight="1" x14ac:dyDescent="0.25">
      <c r="A68" s="6" t="s">
        <v>125</v>
      </c>
      <c r="B68" s="7">
        <f>+SUMIFS(Tablo1710612131618202224[SATIŞ TUTARI],Tablo1710612131618202224[TARİH],"&gt;=01/01/2026",Tablo1710612131618202224[TARİH],"&lt;=31/01/2026",Tablo1710612131618202224[MÜŞTERİ ADI],'GELİR İCMAL'!A68)</f>
        <v>0</v>
      </c>
      <c r="C68" s="7">
        <f>+SUMIFS(Tablo1710612131618202224[SATIŞ TUTARI],Tablo1710612131618202224[TARİH],"&gt;=01/02/2026",Tablo1710612131618202224[TARİH],"&lt;=28/02/2026",Tablo1710612131618202224[MÜŞTERİ ADI],'GELİR İCMAL'!A68)</f>
        <v>0</v>
      </c>
      <c r="D68" s="7"/>
      <c r="E68" s="7"/>
      <c r="F68" s="7"/>
      <c r="G68" s="7"/>
      <c r="H68" s="7"/>
      <c r="I68" s="7"/>
      <c r="J68" s="7"/>
      <c r="K68" s="7"/>
      <c r="L68" s="7"/>
      <c r="M68" s="7"/>
      <c r="N68" s="7">
        <f t="shared" si="2"/>
        <v>0</v>
      </c>
      <c r="O68" s="7"/>
      <c r="P68" s="32">
        <f t="shared" ref="P68:P121" si="3">+N68-O68</f>
        <v>0</v>
      </c>
      <c r="Q68" s="11"/>
      <c r="R68" s="12"/>
      <c r="S68" s="12"/>
      <c r="T68" s="12"/>
      <c r="U68" s="12"/>
      <c r="V68" s="12"/>
      <c r="W68" s="12"/>
      <c r="X68" s="12"/>
      <c r="Y68" s="12"/>
      <c r="Z68" s="12"/>
      <c r="AA68" s="12"/>
      <c r="AB68" s="12"/>
    </row>
    <row r="69" spans="1:28" ht="20.100000000000001" customHeight="1" x14ac:dyDescent="0.25">
      <c r="A69" s="6" t="s">
        <v>126</v>
      </c>
      <c r="B69" s="7">
        <f>+SUMIFS(Tablo1710612131618202224[SATIŞ TUTARI],Tablo1710612131618202224[TARİH],"&gt;=01/01/2026",Tablo1710612131618202224[TARİH],"&lt;=31/01/2026",Tablo1710612131618202224[MÜŞTERİ ADI],'GELİR İCMAL'!A69)</f>
        <v>0</v>
      </c>
      <c r="C69" s="7">
        <f>+SUMIFS(Tablo1710612131618202224[SATIŞ TUTARI],Tablo1710612131618202224[TARİH],"&gt;=01/02/2026",Tablo1710612131618202224[TARİH],"&lt;=28/02/2026",Tablo1710612131618202224[MÜŞTERİ ADI],'GELİR İCMAL'!A69)</f>
        <v>0</v>
      </c>
      <c r="D69" s="7"/>
      <c r="E69" s="7"/>
      <c r="F69" s="7"/>
      <c r="G69" s="7"/>
      <c r="H69" s="7"/>
      <c r="I69" s="7"/>
      <c r="J69" s="7"/>
      <c r="K69" s="7"/>
      <c r="L69" s="7"/>
      <c r="M69" s="7"/>
      <c r="N69" s="7">
        <f t="shared" si="2"/>
        <v>0</v>
      </c>
      <c r="O69" s="7"/>
      <c r="P69" s="32">
        <f t="shared" si="3"/>
        <v>0</v>
      </c>
      <c r="Q69" s="11"/>
      <c r="R69" s="12"/>
      <c r="S69" s="12"/>
      <c r="T69" s="12"/>
      <c r="U69" s="12"/>
      <c r="V69" s="12"/>
      <c r="W69" s="12"/>
      <c r="X69" s="12"/>
      <c r="Y69" s="12"/>
      <c r="Z69" s="12"/>
      <c r="AA69" s="12"/>
      <c r="AB69" s="12"/>
    </row>
    <row r="70" spans="1:28" ht="20.100000000000001" customHeight="1" x14ac:dyDescent="0.25">
      <c r="A70" s="6" t="s">
        <v>98</v>
      </c>
      <c r="B70" s="7">
        <f>+SUMIFS(Tablo1710612131618202224[SATIŞ TUTARI],Tablo1710612131618202224[TARİH],"&gt;=01/01/2026",Tablo1710612131618202224[TARİH],"&lt;=31/01/2026",Tablo1710612131618202224[MÜŞTERİ ADI],'GELİR İCMAL'!A70)</f>
        <v>0</v>
      </c>
      <c r="C70" s="7">
        <f>+SUMIFS(Tablo1710612131618202224[SATIŞ TUTARI],Tablo1710612131618202224[TARİH],"&gt;=01/02/2026",Tablo1710612131618202224[TARİH],"&lt;=28/02/2026",Tablo1710612131618202224[MÜŞTERİ ADI],'GELİR İCMAL'!A70)</f>
        <v>0</v>
      </c>
      <c r="D70" s="7"/>
      <c r="E70" s="7"/>
      <c r="F70" s="7"/>
      <c r="G70" s="7"/>
      <c r="H70" s="7"/>
      <c r="I70" s="7"/>
      <c r="J70" s="7"/>
      <c r="K70" s="7"/>
      <c r="L70" s="7"/>
      <c r="M70" s="7"/>
      <c r="N70" s="7">
        <f t="shared" si="2"/>
        <v>0</v>
      </c>
      <c r="O70" s="7"/>
      <c r="P70" s="32">
        <f t="shared" si="3"/>
        <v>0</v>
      </c>
      <c r="Q70" s="11"/>
      <c r="R70" s="12"/>
      <c r="S70" s="12"/>
      <c r="T70" s="12"/>
      <c r="U70" s="12"/>
      <c r="V70" s="12"/>
      <c r="W70" s="12"/>
      <c r="X70" s="12"/>
      <c r="Y70" s="12"/>
      <c r="Z70" s="12"/>
      <c r="AA70" s="12"/>
      <c r="AB70" s="12"/>
    </row>
    <row r="71" spans="1:28" ht="20.100000000000001" customHeight="1" x14ac:dyDescent="0.25">
      <c r="A71" s="6" t="s">
        <v>127</v>
      </c>
      <c r="B71" s="7">
        <f>+SUMIFS(Tablo1710612131618202224[SATIŞ TUTARI],Tablo1710612131618202224[TARİH],"&gt;=01/01/2026",Tablo1710612131618202224[TARİH],"&lt;=31/01/2026",Tablo1710612131618202224[MÜŞTERİ ADI],'GELİR İCMAL'!A71)</f>
        <v>0</v>
      </c>
      <c r="C71" s="7">
        <f>+SUMIFS(Tablo1710612131618202224[SATIŞ TUTARI],Tablo1710612131618202224[TARİH],"&gt;=01/02/2026",Tablo1710612131618202224[TARİH],"&lt;=28/02/2026",Tablo1710612131618202224[MÜŞTERİ ADI],'GELİR İCMAL'!A71)</f>
        <v>0</v>
      </c>
      <c r="D71" s="7"/>
      <c r="E71" s="7"/>
      <c r="F71" s="7"/>
      <c r="G71" s="7"/>
      <c r="H71" s="7"/>
      <c r="I71" s="7"/>
      <c r="J71" s="7"/>
      <c r="K71" s="7"/>
      <c r="L71" s="7"/>
      <c r="M71" s="7"/>
      <c r="N71" s="7">
        <f t="shared" si="2"/>
        <v>0</v>
      </c>
      <c r="O71" s="7"/>
      <c r="P71" s="32">
        <f t="shared" si="3"/>
        <v>0</v>
      </c>
      <c r="Q71" s="11"/>
      <c r="R71" s="12"/>
      <c r="S71" s="12"/>
      <c r="T71" s="12"/>
      <c r="U71" s="12"/>
      <c r="V71" s="12"/>
      <c r="W71" s="12"/>
      <c r="X71" s="12"/>
      <c r="Y71" s="12"/>
      <c r="Z71" s="12"/>
      <c r="AA71" s="12"/>
      <c r="AB71" s="12"/>
    </row>
    <row r="72" spans="1:28" ht="20.100000000000001" customHeight="1" x14ac:dyDescent="0.25">
      <c r="A72" s="6" t="s">
        <v>128</v>
      </c>
      <c r="B72" s="7">
        <f>+SUMIFS(Tablo1710612131618202224[SATIŞ TUTARI],Tablo1710612131618202224[TARİH],"&gt;=01/01/2026",Tablo1710612131618202224[TARİH],"&lt;=31/01/2026",Tablo1710612131618202224[MÜŞTERİ ADI],'GELİR İCMAL'!A72)</f>
        <v>0</v>
      </c>
      <c r="C72" s="7">
        <f>+SUMIFS(Tablo1710612131618202224[SATIŞ TUTARI],Tablo1710612131618202224[TARİH],"&gt;=01/02/2026",Tablo1710612131618202224[TARİH],"&lt;=28/02/2026",Tablo1710612131618202224[MÜŞTERİ ADI],'GELİR İCMAL'!A72)</f>
        <v>0</v>
      </c>
      <c r="D72" s="7"/>
      <c r="E72" s="7"/>
      <c r="F72" s="7"/>
      <c r="G72" s="7"/>
      <c r="H72" s="7"/>
      <c r="I72" s="7"/>
      <c r="J72" s="7"/>
      <c r="K72" s="7"/>
      <c r="L72" s="7"/>
      <c r="M72" s="7"/>
      <c r="N72" s="7">
        <f t="shared" si="2"/>
        <v>0</v>
      </c>
      <c r="O72" s="7"/>
      <c r="P72" s="32">
        <f t="shared" si="3"/>
        <v>0</v>
      </c>
      <c r="Q72" s="11"/>
      <c r="R72" s="12"/>
      <c r="S72" s="12"/>
      <c r="T72" s="12"/>
      <c r="U72" s="12"/>
      <c r="V72" s="12"/>
      <c r="W72" s="12"/>
      <c r="X72" s="12"/>
      <c r="Y72" s="12"/>
      <c r="Z72" s="12"/>
      <c r="AA72" s="12"/>
      <c r="AB72" s="12"/>
    </row>
    <row r="73" spans="1:28" ht="20.100000000000001" customHeight="1" x14ac:dyDescent="0.25">
      <c r="A73" s="6" t="s">
        <v>129</v>
      </c>
      <c r="B73" s="7">
        <f>+SUMIFS(Tablo1710612131618202224[SATIŞ TUTARI],Tablo1710612131618202224[TARİH],"&gt;=01/01/2026",Tablo1710612131618202224[TARİH],"&lt;=31/01/2026",Tablo1710612131618202224[MÜŞTERİ ADI],'GELİR İCMAL'!A73)</f>
        <v>0</v>
      </c>
      <c r="C73" s="7">
        <f>+SUMIFS(Tablo1710612131618202224[SATIŞ TUTARI],Tablo1710612131618202224[TARİH],"&gt;=01/02/2026",Tablo1710612131618202224[TARİH],"&lt;=28/02/2026",Tablo1710612131618202224[MÜŞTERİ ADI],'GELİR İCMAL'!A73)</f>
        <v>0</v>
      </c>
      <c r="D73" s="7"/>
      <c r="E73" s="7"/>
      <c r="F73" s="7"/>
      <c r="G73" s="7"/>
      <c r="H73" s="7"/>
      <c r="I73" s="7"/>
      <c r="J73" s="7"/>
      <c r="K73" s="7"/>
      <c r="L73" s="7"/>
      <c r="M73" s="7"/>
      <c r="N73" s="7">
        <f t="shared" si="2"/>
        <v>0</v>
      </c>
      <c r="O73" s="7"/>
      <c r="P73" s="32">
        <f t="shared" si="3"/>
        <v>0</v>
      </c>
      <c r="Q73" s="11"/>
      <c r="R73" s="12"/>
      <c r="S73" s="12"/>
      <c r="T73" s="12"/>
      <c r="U73" s="12"/>
      <c r="V73" s="12"/>
      <c r="W73" s="12"/>
      <c r="X73" s="12"/>
      <c r="Y73" s="12"/>
      <c r="Z73" s="12"/>
      <c r="AA73" s="12"/>
      <c r="AB73" s="12"/>
    </row>
    <row r="74" spans="1:28" ht="20.100000000000001" customHeight="1" x14ac:dyDescent="0.25">
      <c r="A74" s="6" t="s">
        <v>130</v>
      </c>
      <c r="B74" s="7">
        <f>+SUMIFS(Tablo1710612131618202224[SATIŞ TUTARI],Tablo1710612131618202224[TARİH],"&gt;=01/01/2026",Tablo1710612131618202224[TARİH],"&lt;=31/01/2026",Tablo1710612131618202224[MÜŞTERİ ADI],'GELİR İCMAL'!A74)</f>
        <v>0</v>
      </c>
      <c r="C74" s="7">
        <f>+SUMIFS(Tablo1710612131618202224[SATIŞ TUTARI],Tablo1710612131618202224[TARİH],"&gt;=01/02/2026",Tablo1710612131618202224[TARİH],"&lt;=28/02/2026",Tablo1710612131618202224[MÜŞTERİ ADI],'GELİR İCMAL'!A74)</f>
        <v>0</v>
      </c>
      <c r="D74" s="7"/>
      <c r="E74" s="7"/>
      <c r="F74" s="7"/>
      <c r="G74" s="7"/>
      <c r="H74" s="7"/>
      <c r="I74" s="7"/>
      <c r="J74" s="7"/>
      <c r="K74" s="7"/>
      <c r="L74" s="7"/>
      <c r="M74" s="7"/>
      <c r="N74" s="7">
        <f t="shared" si="2"/>
        <v>0</v>
      </c>
      <c r="O74" s="7"/>
      <c r="P74" s="32">
        <f t="shared" si="3"/>
        <v>0</v>
      </c>
      <c r="Q74" s="11"/>
      <c r="R74" s="12"/>
      <c r="S74" s="12"/>
      <c r="T74" s="12"/>
      <c r="U74" s="12"/>
      <c r="V74" s="12"/>
      <c r="W74" s="12"/>
      <c r="X74" s="12"/>
      <c r="Y74" s="12"/>
      <c r="Z74" s="12"/>
      <c r="AA74" s="12"/>
      <c r="AB74" s="12"/>
    </row>
    <row r="75" spans="1:28" ht="20.100000000000001" customHeight="1" x14ac:dyDescent="0.25">
      <c r="A75" s="6" t="s">
        <v>131</v>
      </c>
      <c r="B75" s="7">
        <f>+SUMIFS(Tablo1710612131618202224[SATIŞ TUTARI],Tablo1710612131618202224[TARİH],"&gt;=01/01/2026",Tablo1710612131618202224[TARİH],"&lt;=31/01/2026",Tablo1710612131618202224[MÜŞTERİ ADI],'GELİR İCMAL'!A75)</f>
        <v>0</v>
      </c>
      <c r="C75" s="7">
        <f>+SUMIFS(Tablo1710612131618202224[SATIŞ TUTARI],Tablo1710612131618202224[TARİH],"&gt;=01/02/2026",Tablo1710612131618202224[TARİH],"&lt;=28/02/2026",Tablo1710612131618202224[MÜŞTERİ ADI],'GELİR İCMAL'!A75)</f>
        <v>0</v>
      </c>
      <c r="D75" s="7"/>
      <c r="E75" s="7"/>
      <c r="F75" s="7"/>
      <c r="G75" s="7"/>
      <c r="H75" s="7"/>
      <c r="I75" s="7"/>
      <c r="J75" s="7"/>
      <c r="K75" s="7"/>
      <c r="L75" s="7"/>
      <c r="M75" s="7"/>
      <c r="N75" s="7">
        <f t="shared" si="2"/>
        <v>0</v>
      </c>
      <c r="O75" s="7"/>
      <c r="P75" s="32">
        <f t="shared" si="3"/>
        <v>0</v>
      </c>
      <c r="Q75" s="11"/>
      <c r="R75" s="12"/>
      <c r="S75" s="12"/>
      <c r="T75" s="12"/>
      <c r="U75" s="12"/>
      <c r="V75" s="12"/>
      <c r="W75" s="12"/>
      <c r="X75" s="12"/>
      <c r="Y75" s="12"/>
      <c r="Z75" s="12"/>
      <c r="AA75" s="12"/>
      <c r="AB75" s="12"/>
    </row>
    <row r="76" spans="1:28" ht="20.100000000000001" customHeight="1" x14ac:dyDescent="0.25">
      <c r="A76" s="6" t="s">
        <v>132</v>
      </c>
      <c r="B76" s="7">
        <f>+SUMIFS(Tablo1710612131618202224[SATIŞ TUTARI],Tablo1710612131618202224[TARİH],"&gt;=01/01/2026",Tablo1710612131618202224[TARİH],"&lt;=31/01/2026",Tablo1710612131618202224[MÜŞTERİ ADI],'GELİR İCMAL'!A76)</f>
        <v>0</v>
      </c>
      <c r="C76" s="7">
        <f>+SUMIFS(Tablo1710612131618202224[SATIŞ TUTARI],Tablo1710612131618202224[TARİH],"&gt;=01/02/2026",Tablo1710612131618202224[TARİH],"&lt;=28/02/2026",Tablo1710612131618202224[MÜŞTERİ ADI],'GELİR İCMAL'!A76)</f>
        <v>0</v>
      </c>
      <c r="D76" s="7"/>
      <c r="E76" s="7"/>
      <c r="F76" s="7"/>
      <c r="G76" s="7"/>
      <c r="H76" s="7"/>
      <c r="I76" s="7"/>
      <c r="J76" s="7"/>
      <c r="K76" s="7"/>
      <c r="L76" s="7"/>
      <c r="M76" s="7"/>
      <c r="N76" s="7">
        <f t="shared" si="2"/>
        <v>0</v>
      </c>
      <c r="O76" s="7"/>
      <c r="P76" s="32">
        <f t="shared" si="3"/>
        <v>0</v>
      </c>
      <c r="Q76" s="11"/>
      <c r="R76" s="12"/>
      <c r="S76" s="12"/>
      <c r="T76" s="12"/>
      <c r="U76" s="12"/>
      <c r="V76" s="12"/>
      <c r="W76" s="12"/>
      <c r="X76" s="12"/>
      <c r="Y76" s="12"/>
      <c r="Z76" s="12"/>
      <c r="AA76" s="12"/>
      <c r="AB76" s="12"/>
    </row>
    <row r="77" spans="1:28" ht="20.100000000000001" customHeight="1" x14ac:dyDescent="0.25">
      <c r="A77" s="6" t="s">
        <v>276</v>
      </c>
      <c r="B77" s="7">
        <f>+SUMIFS(Tablo1710612131618202224[SATIŞ TUTARI],Tablo1710612131618202224[TARİH],"&gt;=01/01/2026",Tablo1710612131618202224[TARİH],"&lt;=31/01/2026",Tablo1710612131618202224[MÜŞTERİ ADI],'GELİR İCMAL'!A77)</f>
        <v>0</v>
      </c>
      <c r="C77" s="7">
        <f>+SUMIFS(Tablo1710612131618202224[SATIŞ TUTARI],Tablo1710612131618202224[TARİH],"&gt;=01/02/2026",Tablo1710612131618202224[TARİH],"&lt;=28/02/2026",Tablo1710612131618202224[MÜŞTERİ ADI],'GELİR İCMAL'!A77)</f>
        <v>0</v>
      </c>
      <c r="D77" s="7"/>
      <c r="E77" s="7"/>
      <c r="F77" s="7"/>
      <c r="G77" s="7"/>
      <c r="H77" s="7"/>
      <c r="I77" s="7"/>
      <c r="J77" s="7"/>
      <c r="K77" s="7"/>
      <c r="L77" s="7"/>
      <c r="M77" s="7"/>
      <c r="N77" s="7">
        <f t="shared" si="2"/>
        <v>0</v>
      </c>
      <c r="O77" s="7"/>
      <c r="P77" s="32">
        <f t="shared" si="3"/>
        <v>0</v>
      </c>
      <c r="Q77" s="11"/>
      <c r="R77" s="12"/>
      <c r="S77" s="12"/>
      <c r="T77" s="12"/>
      <c r="U77" s="12"/>
      <c r="V77" s="12"/>
      <c r="W77" s="12"/>
      <c r="X77" s="12"/>
      <c r="Y77" s="12"/>
      <c r="Z77" s="12"/>
      <c r="AA77" s="12"/>
      <c r="AB77" s="12"/>
    </row>
    <row r="78" spans="1:28" ht="20.100000000000001" customHeight="1" x14ac:dyDescent="0.25">
      <c r="A78" s="6" t="s">
        <v>295</v>
      </c>
      <c r="B78" s="7">
        <f>+SUMIFS(Tablo1710612131618202224[SATIŞ TUTARI],Tablo1710612131618202224[TARİH],"&gt;=01/01/2026",Tablo1710612131618202224[TARİH],"&lt;=31/01/2026",Tablo1710612131618202224[MÜŞTERİ ADI],'GELİR İCMAL'!A78)</f>
        <v>0</v>
      </c>
      <c r="C78" s="7">
        <f>+SUMIFS(Tablo1710612131618202224[SATIŞ TUTARI],Tablo1710612131618202224[TARİH],"&gt;=01/02/2026",Tablo1710612131618202224[TARİH],"&lt;=28/02/2026",Tablo1710612131618202224[MÜŞTERİ ADI],'GELİR İCMAL'!A78)</f>
        <v>0</v>
      </c>
      <c r="D78" s="7"/>
      <c r="E78" s="7"/>
      <c r="F78" s="7"/>
      <c r="G78" s="7"/>
      <c r="H78" s="7"/>
      <c r="I78" s="7"/>
      <c r="J78" s="7"/>
      <c r="K78" s="7"/>
      <c r="L78" s="7"/>
      <c r="M78" s="7"/>
      <c r="N78" s="7">
        <f t="shared" si="2"/>
        <v>0</v>
      </c>
      <c r="O78" s="7"/>
      <c r="P78" s="32">
        <f t="shared" si="3"/>
        <v>0</v>
      </c>
      <c r="Q78" s="11"/>
      <c r="R78" s="12"/>
      <c r="S78" s="12"/>
      <c r="T78" s="12"/>
      <c r="U78" s="12"/>
      <c r="V78" s="12"/>
      <c r="W78" s="12"/>
      <c r="X78" s="12"/>
      <c r="Y78" s="12"/>
      <c r="Z78" s="12"/>
      <c r="AA78" s="12"/>
      <c r="AB78" s="12"/>
    </row>
    <row r="79" spans="1:28" ht="20.100000000000001" customHeight="1" x14ac:dyDescent="0.25">
      <c r="A79" s="6" t="s">
        <v>330</v>
      </c>
      <c r="B79" s="7">
        <f>+SUMIFS(Tablo1710612131618202224[SATIŞ TUTARI],Tablo1710612131618202224[TARİH],"&gt;=01/01/2026",Tablo1710612131618202224[TARİH],"&lt;=31/01/2026",Tablo1710612131618202224[MÜŞTERİ ADI],'GELİR İCMAL'!A79)</f>
        <v>0</v>
      </c>
      <c r="C79" s="7">
        <f>+SUMIFS(Tablo1710612131618202224[SATIŞ TUTARI],Tablo1710612131618202224[TARİH],"&gt;=01/02/2026",Tablo1710612131618202224[TARİH],"&lt;=28/02/2026",Tablo1710612131618202224[MÜŞTERİ ADI],'GELİR İCMAL'!A79)</f>
        <v>0</v>
      </c>
      <c r="D79" s="7"/>
      <c r="E79" s="7"/>
      <c r="F79" s="7"/>
      <c r="G79" s="7"/>
      <c r="H79" s="7"/>
      <c r="I79" s="7"/>
      <c r="J79" s="7"/>
      <c r="K79" s="7"/>
      <c r="L79" s="7"/>
      <c r="M79" s="7"/>
      <c r="N79" s="7">
        <f t="shared" si="2"/>
        <v>0</v>
      </c>
      <c r="O79" s="7"/>
      <c r="P79" s="32">
        <f t="shared" si="3"/>
        <v>0</v>
      </c>
      <c r="Q79" s="11"/>
      <c r="R79" s="12"/>
      <c r="S79" s="12"/>
      <c r="T79" s="12"/>
      <c r="U79" s="12"/>
      <c r="V79" s="12"/>
      <c r="W79" s="12"/>
      <c r="X79" s="12"/>
      <c r="Y79" s="12"/>
      <c r="Z79" s="12"/>
      <c r="AA79" s="12"/>
      <c r="AB79" s="12"/>
    </row>
    <row r="80" spans="1:28" ht="20.100000000000001" customHeight="1" x14ac:dyDescent="0.25">
      <c r="A80" s="6" t="s">
        <v>325</v>
      </c>
      <c r="B80" s="7">
        <f>+SUMIFS(Tablo1710612131618202224[SATIŞ TUTARI],Tablo1710612131618202224[TARİH],"&gt;=01/01/2026",Tablo1710612131618202224[TARİH],"&lt;=31/01/2026",Tablo1710612131618202224[MÜŞTERİ ADI],'GELİR İCMAL'!A80)</f>
        <v>0</v>
      </c>
      <c r="C80" s="7">
        <f>+SUMIFS(Tablo1710612131618202224[SATIŞ TUTARI],Tablo1710612131618202224[TARİH],"&gt;=01/02/2026",Tablo1710612131618202224[TARİH],"&lt;=28/02/2026",Tablo1710612131618202224[MÜŞTERİ ADI],'GELİR İCMAL'!A80)</f>
        <v>0</v>
      </c>
      <c r="D80" s="7"/>
      <c r="E80" s="7"/>
      <c r="F80" s="7"/>
      <c r="G80" s="7"/>
      <c r="H80" s="7"/>
      <c r="I80" s="7"/>
      <c r="J80" s="7"/>
      <c r="K80" s="7"/>
      <c r="L80" s="7"/>
      <c r="M80" s="7"/>
      <c r="N80" s="7">
        <f t="shared" si="2"/>
        <v>0</v>
      </c>
      <c r="O80" s="7"/>
      <c r="P80" s="32">
        <f t="shared" si="3"/>
        <v>0</v>
      </c>
      <c r="Q80" s="11"/>
      <c r="R80" s="12"/>
      <c r="S80" s="12"/>
      <c r="T80" s="12"/>
      <c r="U80" s="12"/>
      <c r="V80" s="12"/>
      <c r="W80" s="12"/>
      <c r="X80" s="12"/>
      <c r="Y80" s="12"/>
      <c r="Z80" s="12"/>
      <c r="AA80" s="12"/>
      <c r="AB80" s="12"/>
    </row>
    <row r="81" spans="1:28" ht="20.100000000000001" customHeight="1" x14ac:dyDescent="0.25">
      <c r="A81" s="6" t="s">
        <v>376</v>
      </c>
      <c r="B81" s="7">
        <f>+SUMIFS(Tablo1710612131618202224[SATIŞ TUTARI],Tablo1710612131618202224[TARİH],"&gt;=01/01/2026",Tablo1710612131618202224[TARİH],"&lt;=31/01/2026",Tablo1710612131618202224[MÜŞTERİ ADI],'GELİR İCMAL'!A81)</f>
        <v>0</v>
      </c>
      <c r="C81" s="7">
        <f>+SUMIFS(Tablo1710612131618202224[SATIŞ TUTARI],Tablo1710612131618202224[TARİH],"&gt;=01/02/2026",Tablo1710612131618202224[TARİH],"&lt;=28/02/2026",Tablo1710612131618202224[MÜŞTERİ ADI],'GELİR İCMAL'!A81)</f>
        <v>0</v>
      </c>
      <c r="D81" s="7"/>
      <c r="E81" s="7"/>
      <c r="F81" s="7"/>
      <c r="G81" s="7"/>
      <c r="H81" s="7"/>
      <c r="I81" s="7"/>
      <c r="J81" s="7"/>
      <c r="K81" s="7"/>
      <c r="L81" s="7"/>
      <c r="M81" s="7"/>
      <c r="N81" s="7">
        <f t="shared" si="2"/>
        <v>0</v>
      </c>
      <c r="O81" s="7"/>
      <c r="P81" s="32">
        <f t="shared" si="3"/>
        <v>0</v>
      </c>
      <c r="Q81" s="11"/>
      <c r="R81" s="12"/>
      <c r="S81" s="12"/>
      <c r="T81" s="12"/>
      <c r="U81" s="12"/>
      <c r="V81" s="12"/>
      <c r="W81" s="12"/>
      <c r="X81" s="12"/>
      <c r="Y81" s="12"/>
      <c r="Z81" s="12"/>
      <c r="AA81" s="12"/>
      <c r="AB81" s="12"/>
    </row>
    <row r="82" spans="1:28" ht="20.100000000000001" customHeight="1" x14ac:dyDescent="0.25">
      <c r="A82" s="6"/>
      <c r="B82" s="7">
        <f>+SUMIFS(Tablo1710612131618202224[SATIŞ TUTARI],Tablo1710612131618202224[TARİH],"&gt;=01/01/2026",Tablo1710612131618202224[TARİH],"&lt;=31/01/2026",Tablo1710612131618202224[MÜŞTERİ ADI],'GELİR İCMAL'!A82)</f>
        <v>0</v>
      </c>
      <c r="C82" s="7">
        <f>+SUMIFS(Tablo1710612131618202224[SATIŞ TUTARI],Tablo1710612131618202224[TARİH],"&gt;=01/02/2026",Tablo1710612131618202224[TARİH],"&lt;=28/02/2026",Tablo1710612131618202224[MÜŞTERİ ADI],'GELİR İCMAL'!A82)</f>
        <v>0</v>
      </c>
      <c r="D82" s="7"/>
      <c r="E82" s="7"/>
      <c r="F82" s="7"/>
      <c r="G82" s="7"/>
      <c r="H82" s="7"/>
      <c r="I82" s="7"/>
      <c r="J82" s="7"/>
      <c r="K82" s="7"/>
      <c r="L82" s="7"/>
      <c r="M82" s="7"/>
      <c r="N82" s="7">
        <f t="shared" si="2"/>
        <v>0</v>
      </c>
      <c r="O82" s="7"/>
      <c r="P82" s="32">
        <f t="shared" si="3"/>
        <v>0</v>
      </c>
      <c r="Q82" s="11"/>
      <c r="R82" s="12"/>
      <c r="S82" s="12"/>
      <c r="T82" s="12"/>
      <c r="U82" s="12"/>
      <c r="V82" s="12"/>
      <c r="W82" s="12"/>
      <c r="X82" s="12"/>
      <c r="Y82" s="12"/>
      <c r="Z82" s="12"/>
      <c r="AA82" s="12"/>
      <c r="AB82" s="12"/>
    </row>
    <row r="83" spans="1:28" ht="20.100000000000001" customHeight="1" x14ac:dyDescent="0.25">
      <c r="A83" s="6"/>
      <c r="B83" s="7">
        <f>+SUMIFS(Tablo1710612131618202224[SATIŞ TUTARI],Tablo1710612131618202224[TARİH],"&gt;=01/01/2026",Tablo1710612131618202224[TARİH],"&lt;=31/01/2026",Tablo1710612131618202224[MÜŞTERİ ADI],'GELİR İCMAL'!A83)</f>
        <v>0</v>
      </c>
      <c r="C83" s="7">
        <f>+SUMIFS(Tablo1710612131618202224[SATIŞ TUTARI],Tablo1710612131618202224[TARİH],"&gt;=01/02/2026",Tablo1710612131618202224[TARİH],"&lt;=28/02/2026",Tablo1710612131618202224[MÜŞTERİ ADI],'GELİR İCMAL'!A83)</f>
        <v>0</v>
      </c>
      <c r="D83" s="7"/>
      <c r="E83" s="7"/>
      <c r="F83" s="7"/>
      <c r="G83" s="7"/>
      <c r="H83" s="7"/>
      <c r="I83" s="7"/>
      <c r="J83" s="7"/>
      <c r="K83" s="7"/>
      <c r="L83" s="7"/>
      <c r="M83" s="7"/>
      <c r="N83" s="7">
        <f t="shared" si="2"/>
        <v>0</v>
      </c>
      <c r="O83" s="7"/>
      <c r="P83" s="32">
        <f t="shared" si="3"/>
        <v>0</v>
      </c>
      <c r="Q83" s="11"/>
      <c r="R83" s="12"/>
      <c r="S83" s="12"/>
      <c r="T83" s="12"/>
      <c r="U83" s="12"/>
      <c r="V83" s="12"/>
      <c r="W83" s="12"/>
      <c r="X83" s="12"/>
      <c r="Y83" s="12"/>
      <c r="Z83" s="12"/>
      <c r="AA83" s="12"/>
      <c r="AB83" s="12"/>
    </row>
    <row r="84" spans="1:28" ht="20.100000000000001" customHeight="1" x14ac:dyDescent="0.25">
      <c r="A84" s="6"/>
      <c r="B84" s="7">
        <f>+SUMIFS(Tablo1710612131618202224[SATIŞ TUTARI],Tablo1710612131618202224[TARİH],"&gt;=01/01/2026",Tablo1710612131618202224[TARİH],"&lt;=31/01/2026",Tablo1710612131618202224[MÜŞTERİ ADI],'GELİR İCMAL'!A84)</f>
        <v>0</v>
      </c>
      <c r="C84" s="7">
        <f>+SUMIFS(Tablo1710612131618202224[SATIŞ TUTARI],Tablo1710612131618202224[TARİH],"&gt;=01/02/2026",Tablo1710612131618202224[TARİH],"&lt;=28/02/2026",Tablo1710612131618202224[MÜŞTERİ ADI],'GELİR İCMAL'!A84)</f>
        <v>0</v>
      </c>
      <c r="D84" s="7"/>
      <c r="E84" s="7"/>
      <c r="F84" s="7"/>
      <c r="G84" s="7"/>
      <c r="H84" s="7"/>
      <c r="I84" s="7"/>
      <c r="J84" s="7"/>
      <c r="K84" s="7"/>
      <c r="L84" s="7"/>
      <c r="M84" s="7"/>
      <c r="N84" s="7">
        <f t="shared" si="2"/>
        <v>0</v>
      </c>
      <c r="O84" s="7"/>
      <c r="P84" s="32">
        <f t="shared" si="3"/>
        <v>0</v>
      </c>
      <c r="Q84" s="11"/>
      <c r="R84" s="12"/>
      <c r="S84" s="12"/>
      <c r="T84" s="12"/>
      <c r="U84" s="12"/>
      <c r="V84" s="12"/>
      <c r="W84" s="12"/>
      <c r="X84" s="12"/>
      <c r="Y84" s="12"/>
      <c r="Z84" s="12"/>
      <c r="AA84" s="12"/>
      <c r="AB84" s="12"/>
    </row>
    <row r="85" spans="1:28" ht="20.100000000000001" customHeight="1" x14ac:dyDescent="0.25">
      <c r="A85" s="6"/>
      <c r="B85" s="7">
        <f>+SUMIFS(Tablo1710612131618202224[SATIŞ TUTARI],Tablo1710612131618202224[TARİH],"&gt;=01/01/2026",Tablo1710612131618202224[TARİH],"&lt;=31/01/2026",Tablo1710612131618202224[MÜŞTERİ ADI],'GELİR İCMAL'!A85)</f>
        <v>0</v>
      </c>
      <c r="C85" s="7">
        <f>+SUMIFS(Tablo1710612131618202224[SATIŞ TUTARI],Tablo1710612131618202224[TARİH],"&gt;=01/02/2026",Tablo1710612131618202224[TARİH],"&lt;=28/02/2026",Tablo1710612131618202224[MÜŞTERİ ADI],'GELİR İCMAL'!A85)</f>
        <v>0</v>
      </c>
      <c r="D85" s="7"/>
      <c r="E85" s="7"/>
      <c r="F85" s="7"/>
      <c r="G85" s="7"/>
      <c r="H85" s="7"/>
      <c r="I85" s="7"/>
      <c r="J85" s="7"/>
      <c r="K85" s="7"/>
      <c r="L85" s="7"/>
      <c r="M85" s="7"/>
      <c r="N85" s="7">
        <f t="shared" si="2"/>
        <v>0</v>
      </c>
      <c r="O85" s="7"/>
      <c r="P85" s="32">
        <f t="shared" si="3"/>
        <v>0</v>
      </c>
      <c r="Q85" s="11"/>
      <c r="R85" s="12"/>
      <c r="S85" s="12"/>
      <c r="T85" s="12"/>
      <c r="U85" s="12"/>
      <c r="V85" s="12"/>
      <c r="W85" s="12"/>
      <c r="X85" s="12"/>
      <c r="Y85" s="12"/>
      <c r="Z85" s="12"/>
      <c r="AA85" s="12"/>
      <c r="AB85" s="12"/>
    </row>
    <row r="86" spans="1:28" ht="20.100000000000001" customHeight="1" x14ac:dyDescent="0.25">
      <c r="A86" s="6"/>
      <c r="B86" s="7">
        <f>+SUMIFS(Tablo1710612131618202224[SATIŞ TUTARI],Tablo1710612131618202224[TARİH],"&gt;=01/01/2026",Tablo1710612131618202224[TARİH],"&lt;=31/01/2026",Tablo1710612131618202224[MÜŞTERİ ADI],'GELİR İCMAL'!A86)</f>
        <v>0</v>
      </c>
      <c r="C86" s="7">
        <f>+SUMIFS(Tablo1710612131618202224[SATIŞ TUTARI],Tablo1710612131618202224[TARİH],"&gt;=01/02/2026",Tablo1710612131618202224[TARİH],"&lt;=28/02/2026",Tablo1710612131618202224[MÜŞTERİ ADI],'GELİR İCMAL'!A86)</f>
        <v>0</v>
      </c>
      <c r="D86" s="7"/>
      <c r="E86" s="7"/>
      <c r="F86" s="7"/>
      <c r="G86" s="7"/>
      <c r="H86" s="7"/>
      <c r="I86" s="7"/>
      <c r="J86" s="7"/>
      <c r="K86" s="7"/>
      <c r="L86" s="7"/>
      <c r="M86" s="7"/>
      <c r="N86" s="7">
        <f t="shared" si="2"/>
        <v>0</v>
      </c>
      <c r="O86" s="7"/>
      <c r="P86" s="32">
        <f t="shared" si="3"/>
        <v>0</v>
      </c>
      <c r="Q86" s="11"/>
      <c r="R86" s="12"/>
      <c r="S86" s="12"/>
      <c r="T86" s="12"/>
      <c r="U86" s="12"/>
      <c r="V86" s="12"/>
      <c r="W86" s="12"/>
      <c r="X86" s="12"/>
      <c r="Y86" s="12"/>
      <c r="Z86" s="12"/>
      <c r="AA86" s="12"/>
      <c r="AB86" s="12"/>
    </row>
    <row r="87" spans="1:28" ht="20.100000000000001" customHeight="1" x14ac:dyDescent="0.25">
      <c r="A87" s="6"/>
      <c r="B87" s="7">
        <f>+SUMIFS(Tablo1710612131618202224[SATIŞ TUTARI],Tablo1710612131618202224[TARİH],"&gt;=01/01/2026",Tablo1710612131618202224[TARİH],"&lt;=31/01/2026",Tablo1710612131618202224[MÜŞTERİ ADI],'GELİR İCMAL'!A87)</f>
        <v>0</v>
      </c>
      <c r="C87" s="7">
        <f>+SUMIFS(Tablo1710612131618202224[SATIŞ TUTARI],Tablo1710612131618202224[TARİH],"&gt;=01/02/2026",Tablo1710612131618202224[TARİH],"&lt;=28/02/2026",Tablo1710612131618202224[MÜŞTERİ ADI],'GELİR İCMAL'!A87)</f>
        <v>0</v>
      </c>
      <c r="D87" s="7"/>
      <c r="E87" s="7"/>
      <c r="F87" s="7"/>
      <c r="G87" s="7"/>
      <c r="H87" s="7"/>
      <c r="I87" s="7"/>
      <c r="J87" s="7"/>
      <c r="K87" s="7"/>
      <c r="L87" s="7"/>
      <c r="M87" s="7"/>
      <c r="N87" s="7">
        <f t="shared" si="2"/>
        <v>0</v>
      </c>
      <c r="O87" s="7"/>
      <c r="P87" s="32">
        <f t="shared" si="3"/>
        <v>0</v>
      </c>
      <c r="Q87" s="11"/>
      <c r="R87" s="12"/>
      <c r="S87" s="12"/>
      <c r="T87" s="12"/>
      <c r="U87" s="12"/>
      <c r="V87" s="12"/>
      <c r="W87" s="12"/>
      <c r="X87" s="12"/>
      <c r="Y87" s="12"/>
      <c r="Z87" s="12"/>
      <c r="AA87" s="12"/>
      <c r="AB87" s="12"/>
    </row>
    <row r="88" spans="1:28" ht="20.100000000000001" customHeight="1" x14ac:dyDescent="0.25">
      <c r="A88" s="6"/>
      <c r="B88" s="7">
        <f>+SUMIFS(Tablo1710612131618202224[SATIŞ TUTARI],Tablo1710612131618202224[TARİH],"&gt;=01/01/2026",Tablo1710612131618202224[TARİH],"&lt;=31/01/2026",Tablo1710612131618202224[MÜŞTERİ ADI],'GELİR İCMAL'!A88)</f>
        <v>0</v>
      </c>
      <c r="C88" s="7">
        <f>+SUMIFS(Tablo1710612131618202224[SATIŞ TUTARI],Tablo1710612131618202224[TARİH],"&gt;=01/02/2026",Tablo1710612131618202224[TARİH],"&lt;=28/02/2026",Tablo1710612131618202224[MÜŞTERİ ADI],'GELİR İCMAL'!A88)</f>
        <v>0</v>
      </c>
      <c r="D88" s="7"/>
      <c r="E88" s="7"/>
      <c r="F88" s="7"/>
      <c r="G88" s="7"/>
      <c r="H88" s="7"/>
      <c r="I88" s="7"/>
      <c r="J88" s="7"/>
      <c r="K88" s="7"/>
      <c r="L88" s="7"/>
      <c r="M88" s="7"/>
      <c r="N88" s="7">
        <f t="shared" si="2"/>
        <v>0</v>
      </c>
      <c r="O88" s="7"/>
      <c r="P88" s="32">
        <f t="shared" si="3"/>
        <v>0</v>
      </c>
      <c r="Q88" s="11"/>
      <c r="R88" s="12"/>
      <c r="S88" s="12"/>
      <c r="T88" s="12"/>
      <c r="U88" s="12"/>
      <c r="V88" s="12"/>
      <c r="W88" s="12"/>
      <c r="X88" s="12"/>
      <c r="Y88" s="12"/>
      <c r="Z88" s="12"/>
      <c r="AA88" s="12"/>
      <c r="AB88" s="12"/>
    </row>
    <row r="89" spans="1:28" ht="20.100000000000001" customHeight="1" x14ac:dyDescent="0.25">
      <c r="A89" s="6"/>
      <c r="B89" s="7">
        <f>+SUMIFS(Tablo1710612131618202224[SATIŞ TUTARI],Tablo1710612131618202224[TARİH],"&gt;=01/01/2026",Tablo1710612131618202224[TARİH],"&lt;=31/01/2026",Tablo1710612131618202224[MÜŞTERİ ADI],'GELİR İCMAL'!A89)</f>
        <v>0</v>
      </c>
      <c r="C89" s="7">
        <f>+SUMIFS(Tablo1710612131618202224[SATIŞ TUTARI],Tablo1710612131618202224[TARİH],"&gt;=01/02/2026",Tablo1710612131618202224[TARİH],"&lt;=28/02/2026",Tablo1710612131618202224[MÜŞTERİ ADI],'GELİR İCMAL'!A89)</f>
        <v>0</v>
      </c>
      <c r="D89" s="7"/>
      <c r="E89" s="7"/>
      <c r="F89" s="7"/>
      <c r="G89" s="7"/>
      <c r="H89" s="7"/>
      <c r="I89" s="7"/>
      <c r="J89" s="7"/>
      <c r="K89" s="7"/>
      <c r="L89" s="7"/>
      <c r="M89" s="7"/>
      <c r="N89" s="7">
        <f t="shared" si="2"/>
        <v>0</v>
      </c>
      <c r="O89" s="7"/>
      <c r="P89" s="32">
        <f t="shared" si="3"/>
        <v>0</v>
      </c>
      <c r="Q89" s="11"/>
      <c r="R89" s="12"/>
      <c r="S89" s="12"/>
      <c r="T89" s="12"/>
      <c r="U89" s="12"/>
      <c r="V89" s="12"/>
      <c r="W89" s="12"/>
      <c r="X89" s="12"/>
      <c r="Y89" s="12"/>
      <c r="Z89" s="12"/>
      <c r="AA89" s="12"/>
      <c r="AB89" s="12"/>
    </row>
    <row r="90" spans="1:28" ht="20.100000000000001" customHeight="1" x14ac:dyDescent="0.25">
      <c r="A90" s="6"/>
      <c r="B90" s="7">
        <f>+SUMIFS(Tablo1710612131618202224[SATIŞ TUTARI],Tablo1710612131618202224[TARİH],"&gt;=01/01/2026",Tablo1710612131618202224[TARİH],"&lt;=31/01/2026",Tablo1710612131618202224[MÜŞTERİ ADI],'GELİR İCMAL'!A90)</f>
        <v>0</v>
      </c>
      <c r="C90" s="7">
        <f>+SUMIFS(Tablo1710612131618202224[SATIŞ TUTARI],Tablo1710612131618202224[TARİH],"&gt;=01/02/2026",Tablo1710612131618202224[TARİH],"&lt;=28/02/2026",Tablo1710612131618202224[MÜŞTERİ ADI],'GELİR İCMAL'!A90)</f>
        <v>0</v>
      </c>
      <c r="D90" s="7"/>
      <c r="E90" s="7"/>
      <c r="F90" s="7"/>
      <c r="G90" s="7"/>
      <c r="H90" s="7"/>
      <c r="I90" s="7"/>
      <c r="J90" s="7"/>
      <c r="K90" s="7"/>
      <c r="L90" s="7"/>
      <c r="M90" s="7"/>
      <c r="N90" s="7">
        <f t="shared" si="2"/>
        <v>0</v>
      </c>
      <c r="O90" s="7"/>
      <c r="P90" s="32">
        <f t="shared" si="3"/>
        <v>0</v>
      </c>
      <c r="Q90" s="11"/>
      <c r="R90" s="12"/>
      <c r="S90" s="12"/>
      <c r="T90" s="12"/>
      <c r="U90" s="12"/>
      <c r="V90" s="12"/>
      <c r="W90" s="12"/>
      <c r="X90" s="12"/>
      <c r="Y90" s="12"/>
      <c r="Z90" s="12"/>
      <c r="AA90" s="12"/>
      <c r="AB90" s="12"/>
    </row>
    <row r="91" spans="1:28" ht="20.100000000000001" customHeight="1" x14ac:dyDescent="0.25">
      <c r="A91" s="6"/>
      <c r="B91" s="7">
        <f>+SUMIFS(Tablo1710612131618202224[SATIŞ TUTARI],Tablo1710612131618202224[TARİH],"&gt;=01/01/2026",Tablo1710612131618202224[TARİH],"&lt;=31/01/2026",Tablo1710612131618202224[MÜŞTERİ ADI],'GELİR İCMAL'!A91)</f>
        <v>0</v>
      </c>
      <c r="C91" s="7">
        <f>+SUMIFS(Tablo1710612131618202224[SATIŞ TUTARI],Tablo1710612131618202224[TARİH],"&gt;=01/02/2026",Tablo1710612131618202224[TARİH],"&lt;=28/02/2026",Tablo1710612131618202224[MÜŞTERİ ADI],'GELİR İCMAL'!A91)</f>
        <v>0</v>
      </c>
      <c r="D91" s="7"/>
      <c r="E91" s="7"/>
      <c r="F91" s="7"/>
      <c r="G91" s="7"/>
      <c r="H91" s="7"/>
      <c r="I91" s="7"/>
      <c r="J91" s="7"/>
      <c r="K91" s="7"/>
      <c r="L91" s="7"/>
      <c r="M91" s="7"/>
      <c r="N91" s="7">
        <f t="shared" si="2"/>
        <v>0</v>
      </c>
      <c r="O91" s="7"/>
      <c r="P91" s="32">
        <f t="shared" si="3"/>
        <v>0</v>
      </c>
      <c r="Q91" s="11"/>
      <c r="R91" s="12"/>
      <c r="S91" s="12"/>
      <c r="T91" s="12"/>
      <c r="U91" s="12"/>
      <c r="V91" s="12"/>
      <c r="W91" s="12"/>
      <c r="X91" s="12"/>
      <c r="Y91" s="12"/>
      <c r="Z91" s="12"/>
      <c r="AA91" s="12"/>
      <c r="AB91" s="12"/>
    </row>
    <row r="92" spans="1:28" ht="20.100000000000001" customHeight="1" x14ac:dyDescent="0.25">
      <c r="A92" s="6"/>
      <c r="B92" s="7">
        <f>+SUMIFS(Tablo1710612131618202224[SATIŞ TUTARI],Tablo1710612131618202224[TARİH],"&gt;=01/01/2026",Tablo1710612131618202224[TARİH],"&lt;=31/01/2026",Tablo1710612131618202224[MÜŞTERİ ADI],'GELİR İCMAL'!A92)</f>
        <v>0</v>
      </c>
      <c r="C92" s="7">
        <f>+SUMIFS(Tablo1710612131618202224[SATIŞ TUTARI],Tablo1710612131618202224[TARİH],"&gt;=01/02/2026",Tablo1710612131618202224[TARİH],"&lt;=28/02/2026",Tablo1710612131618202224[MÜŞTERİ ADI],'GELİR İCMAL'!A92)</f>
        <v>0</v>
      </c>
      <c r="D92" s="7"/>
      <c r="E92" s="7"/>
      <c r="F92" s="7"/>
      <c r="G92" s="7"/>
      <c r="H92" s="7"/>
      <c r="I92" s="7"/>
      <c r="J92" s="7"/>
      <c r="K92" s="7"/>
      <c r="L92" s="7"/>
      <c r="M92" s="7"/>
      <c r="N92" s="7">
        <f t="shared" si="2"/>
        <v>0</v>
      </c>
      <c r="O92" s="7"/>
      <c r="P92" s="32">
        <f t="shared" si="3"/>
        <v>0</v>
      </c>
      <c r="Q92" s="11"/>
      <c r="R92" s="12"/>
      <c r="S92" s="12"/>
      <c r="T92" s="12"/>
      <c r="U92" s="12"/>
      <c r="V92" s="12"/>
      <c r="W92" s="12"/>
      <c r="X92" s="12"/>
      <c r="Y92" s="12"/>
      <c r="Z92" s="12"/>
      <c r="AA92" s="12"/>
      <c r="AB92" s="12"/>
    </row>
    <row r="93" spans="1:28" ht="20.100000000000001" customHeight="1" x14ac:dyDescent="0.25">
      <c r="A93" s="6"/>
      <c r="B93" s="7">
        <f>+SUMIFS(Tablo1710612131618202224[SATIŞ TUTARI],Tablo1710612131618202224[TARİH],"&gt;=01/01/2026",Tablo1710612131618202224[TARİH],"&lt;=31/01/2026",Tablo1710612131618202224[MÜŞTERİ ADI],'GELİR İCMAL'!A93)</f>
        <v>0</v>
      </c>
      <c r="C93" s="7">
        <f>+SUMIFS(Tablo1710612131618202224[SATIŞ TUTARI],Tablo1710612131618202224[TARİH],"&gt;=01/02/2026",Tablo1710612131618202224[TARİH],"&lt;=28/02/2026",Tablo1710612131618202224[MÜŞTERİ ADI],'GELİR İCMAL'!A93)</f>
        <v>0</v>
      </c>
      <c r="D93" s="7"/>
      <c r="E93" s="7"/>
      <c r="F93" s="7"/>
      <c r="G93" s="7"/>
      <c r="H93" s="7"/>
      <c r="I93" s="7"/>
      <c r="J93" s="7"/>
      <c r="K93" s="7"/>
      <c r="L93" s="7"/>
      <c r="M93" s="7"/>
      <c r="N93" s="7">
        <f t="shared" si="2"/>
        <v>0</v>
      </c>
      <c r="O93" s="7"/>
      <c r="P93" s="32">
        <f t="shared" si="3"/>
        <v>0</v>
      </c>
      <c r="Q93" s="11"/>
      <c r="R93" s="12"/>
      <c r="S93" s="12"/>
      <c r="T93" s="12"/>
      <c r="U93" s="12"/>
      <c r="V93" s="12"/>
      <c r="W93" s="12"/>
      <c r="X93" s="12"/>
      <c r="Y93" s="12"/>
      <c r="Z93" s="12"/>
      <c r="AA93" s="12"/>
      <c r="AB93" s="12"/>
    </row>
    <row r="94" spans="1:28" ht="20.100000000000001" customHeight="1" x14ac:dyDescent="0.25">
      <c r="A94" s="6"/>
      <c r="B94" s="7">
        <f>+SUMIFS(Tablo1710612131618202224[SATIŞ TUTARI],Tablo1710612131618202224[TARİH],"&gt;=01/01/2026",Tablo1710612131618202224[TARİH],"&lt;=31/01/2026",Tablo1710612131618202224[MÜŞTERİ ADI],'GELİR İCMAL'!A94)</f>
        <v>0</v>
      </c>
      <c r="C94" s="7">
        <f>+SUMIFS(Tablo1710612131618202224[SATIŞ TUTARI],Tablo1710612131618202224[TARİH],"&gt;=01/02/2026",Tablo1710612131618202224[TARİH],"&lt;=28/02/2026",Tablo1710612131618202224[MÜŞTERİ ADI],'GELİR İCMAL'!A94)</f>
        <v>0</v>
      </c>
      <c r="D94" s="7"/>
      <c r="E94" s="7"/>
      <c r="F94" s="7"/>
      <c r="G94" s="7"/>
      <c r="H94" s="7"/>
      <c r="I94" s="7"/>
      <c r="J94" s="7"/>
      <c r="K94" s="7"/>
      <c r="L94" s="7"/>
      <c r="M94" s="7"/>
      <c r="N94" s="7">
        <f t="shared" si="2"/>
        <v>0</v>
      </c>
      <c r="O94" s="7"/>
      <c r="P94" s="32">
        <f t="shared" si="3"/>
        <v>0</v>
      </c>
      <c r="Q94" s="11"/>
      <c r="R94" s="12"/>
      <c r="S94" s="12"/>
      <c r="T94" s="12"/>
      <c r="U94" s="12"/>
      <c r="V94" s="12"/>
      <c r="W94" s="12"/>
      <c r="X94" s="12"/>
      <c r="Y94" s="12"/>
      <c r="Z94" s="12"/>
      <c r="AA94" s="12"/>
      <c r="AB94" s="12"/>
    </row>
    <row r="95" spans="1:28" ht="20.100000000000001" customHeight="1" x14ac:dyDescent="0.25">
      <c r="A95" s="6"/>
      <c r="B95" s="7">
        <f>+SUMIFS(Tablo1710612131618202224[SATIŞ TUTARI],Tablo1710612131618202224[TARİH],"&gt;=01/01/2026",Tablo1710612131618202224[TARİH],"&lt;=31/01/2026",Tablo1710612131618202224[MÜŞTERİ ADI],'GELİR İCMAL'!A95)</f>
        <v>0</v>
      </c>
      <c r="C95" s="7">
        <f>+SUMIFS(Tablo1710612131618202224[SATIŞ TUTARI],Tablo1710612131618202224[TARİH],"&gt;=01/02/2026",Tablo1710612131618202224[TARİH],"&lt;=28/02/2026",Tablo1710612131618202224[MÜŞTERİ ADI],'GELİR İCMAL'!A95)</f>
        <v>0</v>
      </c>
      <c r="D95" s="7"/>
      <c r="E95" s="7"/>
      <c r="F95" s="7"/>
      <c r="G95" s="7"/>
      <c r="H95" s="7"/>
      <c r="I95" s="7"/>
      <c r="J95" s="7"/>
      <c r="K95" s="7"/>
      <c r="L95" s="7"/>
      <c r="M95" s="7"/>
      <c r="N95" s="7">
        <f t="shared" si="2"/>
        <v>0</v>
      </c>
      <c r="O95" s="7"/>
      <c r="P95" s="32">
        <f t="shared" si="3"/>
        <v>0</v>
      </c>
      <c r="Q95" s="11"/>
      <c r="R95" s="12"/>
      <c r="S95" s="12"/>
      <c r="T95" s="12"/>
      <c r="U95" s="12"/>
      <c r="V95" s="12"/>
      <c r="W95" s="12"/>
      <c r="X95" s="12"/>
      <c r="Y95" s="12"/>
      <c r="Z95" s="12"/>
      <c r="AA95" s="12"/>
      <c r="AB95" s="12"/>
    </row>
    <row r="96" spans="1:28" ht="20.100000000000001" customHeight="1" x14ac:dyDescent="0.25">
      <c r="A96" s="6"/>
      <c r="B96" s="7">
        <f>+SUMIFS(Tablo1710612131618202224[SATIŞ TUTARI],Tablo1710612131618202224[TARİH],"&gt;=01/01/2026",Tablo1710612131618202224[TARİH],"&lt;=31/01/2026",Tablo1710612131618202224[MÜŞTERİ ADI],'GELİR İCMAL'!A96)</f>
        <v>0</v>
      </c>
      <c r="C96" s="7">
        <f>+SUMIFS(Tablo1710612131618202224[SATIŞ TUTARI],Tablo1710612131618202224[TARİH],"&gt;=01/02/2026",Tablo1710612131618202224[TARİH],"&lt;=28/02/2026",Tablo1710612131618202224[MÜŞTERİ ADI],'GELİR İCMAL'!A96)</f>
        <v>0</v>
      </c>
      <c r="D96" s="7"/>
      <c r="E96" s="7"/>
      <c r="F96" s="7"/>
      <c r="G96" s="7"/>
      <c r="H96" s="7"/>
      <c r="I96" s="7"/>
      <c r="J96" s="7"/>
      <c r="K96" s="7"/>
      <c r="L96" s="7"/>
      <c r="M96" s="7"/>
      <c r="N96" s="7">
        <f t="shared" si="2"/>
        <v>0</v>
      </c>
      <c r="O96" s="7"/>
      <c r="P96" s="32">
        <f t="shared" si="3"/>
        <v>0</v>
      </c>
      <c r="Q96" s="11"/>
      <c r="R96" s="12"/>
      <c r="S96" s="12"/>
      <c r="T96" s="12"/>
      <c r="U96" s="12"/>
      <c r="V96" s="12"/>
      <c r="W96" s="12"/>
      <c r="X96" s="12"/>
      <c r="Y96" s="12"/>
      <c r="Z96" s="12"/>
      <c r="AA96" s="12"/>
      <c r="AB96" s="12"/>
    </row>
    <row r="97" spans="1:28" ht="20.100000000000001" customHeight="1" x14ac:dyDescent="0.25">
      <c r="A97" s="6"/>
      <c r="B97" s="7">
        <f>+SUMIFS(Tablo1710612131618202224[SATIŞ TUTARI],Tablo1710612131618202224[TARİH],"&gt;=01/01/2026",Tablo1710612131618202224[TARİH],"&lt;=31/01/2026",Tablo1710612131618202224[MÜŞTERİ ADI],'GELİR İCMAL'!A97)</f>
        <v>0</v>
      </c>
      <c r="C97" s="7">
        <f>+SUMIFS(Tablo1710612131618202224[SATIŞ TUTARI],Tablo1710612131618202224[TARİH],"&gt;=01/02/2026",Tablo1710612131618202224[TARİH],"&lt;=28/02/2026",Tablo1710612131618202224[MÜŞTERİ ADI],'GELİR İCMAL'!A97)</f>
        <v>0</v>
      </c>
      <c r="D97" s="7"/>
      <c r="E97" s="7"/>
      <c r="F97" s="7"/>
      <c r="G97" s="7"/>
      <c r="H97" s="7"/>
      <c r="I97" s="7"/>
      <c r="J97" s="7"/>
      <c r="K97" s="7"/>
      <c r="L97" s="7"/>
      <c r="M97" s="7"/>
      <c r="N97" s="7">
        <f t="shared" si="2"/>
        <v>0</v>
      </c>
      <c r="O97" s="7"/>
      <c r="P97" s="32">
        <f t="shared" si="3"/>
        <v>0</v>
      </c>
      <c r="Q97" s="11"/>
      <c r="R97" s="12"/>
      <c r="S97" s="12"/>
      <c r="T97" s="12"/>
      <c r="U97" s="12"/>
      <c r="V97" s="12"/>
      <c r="W97" s="12"/>
      <c r="X97" s="12"/>
      <c r="Y97" s="12"/>
      <c r="Z97" s="12"/>
      <c r="AA97" s="12"/>
      <c r="AB97" s="12"/>
    </row>
    <row r="98" spans="1:28" ht="20.100000000000001" customHeight="1" x14ac:dyDescent="0.25">
      <c r="A98" s="6"/>
      <c r="B98" s="7">
        <f>+SUMIFS(Tablo1710612131618202224[SATIŞ TUTARI],Tablo1710612131618202224[TARİH],"&gt;=01/01/2026",Tablo1710612131618202224[TARİH],"&lt;=31/01/2026",Tablo1710612131618202224[MÜŞTERİ ADI],'GELİR İCMAL'!A98)</f>
        <v>0</v>
      </c>
      <c r="C98" s="7">
        <f>+SUMIFS(Tablo1710612131618202224[SATIŞ TUTARI],Tablo1710612131618202224[TARİH],"&gt;=01/02/2026",Tablo1710612131618202224[TARİH],"&lt;=28/02/2026",Tablo1710612131618202224[MÜŞTERİ ADI],'GELİR İCMAL'!A98)</f>
        <v>0</v>
      </c>
      <c r="D98" s="7"/>
      <c r="E98" s="7"/>
      <c r="F98" s="7"/>
      <c r="G98" s="7"/>
      <c r="H98" s="7"/>
      <c r="I98" s="7"/>
      <c r="J98" s="7"/>
      <c r="K98" s="7"/>
      <c r="L98" s="7"/>
      <c r="M98" s="7"/>
      <c r="N98" s="7">
        <f t="shared" si="2"/>
        <v>0</v>
      </c>
      <c r="O98" s="7"/>
      <c r="P98" s="32">
        <f t="shared" si="3"/>
        <v>0</v>
      </c>
      <c r="Q98" s="11"/>
      <c r="R98" s="12"/>
      <c r="S98" s="12"/>
      <c r="T98" s="12"/>
      <c r="U98" s="12"/>
      <c r="V98" s="12"/>
      <c r="W98" s="12"/>
      <c r="X98" s="12"/>
      <c r="Y98" s="12"/>
      <c r="Z98" s="12"/>
      <c r="AA98" s="12"/>
      <c r="AB98" s="12"/>
    </row>
    <row r="99" spans="1:28" ht="20.100000000000001" customHeight="1" x14ac:dyDescent="0.25">
      <c r="A99" s="6"/>
      <c r="B99" s="7">
        <f>+SUMIFS(Tablo1710612131618202224[SATIŞ TUTARI],Tablo1710612131618202224[TARİH],"&gt;=01/01/2026",Tablo1710612131618202224[TARİH],"&lt;=31/01/2026",Tablo1710612131618202224[MÜŞTERİ ADI],'GELİR İCMAL'!A99)</f>
        <v>0</v>
      </c>
      <c r="C99" s="7">
        <f>+SUMIFS(Tablo1710612131618202224[SATIŞ TUTARI],Tablo1710612131618202224[TARİH],"&gt;=01/02/2026",Tablo1710612131618202224[TARİH],"&lt;=28/02/2026",Tablo1710612131618202224[MÜŞTERİ ADI],'GELİR İCMAL'!A99)</f>
        <v>0</v>
      </c>
      <c r="D99" s="7"/>
      <c r="E99" s="7"/>
      <c r="F99" s="7"/>
      <c r="G99" s="7"/>
      <c r="H99" s="7"/>
      <c r="I99" s="7"/>
      <c r="J99" s="7"/>
      <c r="K99" s="7"/>
      <c r="L99" s="7"/>
      <c r="M99" s="7"/>
      <c r="N99" s="7">
        <f t="shared" si="2"/>
        <v>0</v>
      </c>
      <c r="O99" s="7"/>
      <c r="P99" s="32">
        <f t="shared" si="3"/>
        <v>0</v>
      </c>
      <c r="Q99" s="11"/>
      <c r="R99" s="12"/>
      <c r="S99" s="12"/>
      <c r="T99" s="12"/>
      <c r="U99" s="12"/>
      <c r="V99" s="12"/>
      <c r="W99" s="12"/>
      <c r="X99" s="12"/>
      <c r="Y99" s="12"/>
      <c r="Z99" s="12"/>
      <c r="AA99" s="12"/>
      <c r="AB99" s="12"/>
    </row>
    <row r="100" spans="1:28" ht="20.100000000000001" customHeight="1" x14ac:dyDescent="0.25">
      <c r="A100" s="6"/>
      <c r="B100" s="7">
        <f>+SUMIFS(Tablo1710612131618202224[SATIŞ TUTARI],Tablo1710612131618202224[TARİH],"&gt;=01/01/2026",Tablo1710612131618202224[TARİH],"&lt;=31/01/2026",Tablo1710612131618202224[MÜŞTERİ ADI],'GELİR İCMAL'!A100)</f>
        <v>0</v>
      </c>
      <c r="C100" s="7">
        <f>+SUMIFS(Tablo1710612131618202224[SATIŞ TUTARI],Tablo1710612131618202224[TARİH],"&gt;=01/02/2026",Tablo1710612131618202224[TARİH],"&lt;=28/02/2026",Tablo1710612131618202224[MÜŞTERİ ADI],'GELİR İCMAL'!A100)</f>
        <v>0</v>
      </c>
      <c r="D100" s="7"/>
      <c r="E100" s="7"/>
      <c r="F100" s="7"/>
      <c r="G100" s="7"/>
      <c r="H100" s="7"/>
      <c r="I100" s="7"/>
      <c r="J100" s="7"/>
      <c r="K100" s="7"/>
      <c r="L100" s="7"/>
      <c r="M100" s="7"/>
      <c r="N100" s="7">
        <f t="shared" si="2"/>
        <v>0</v>
      </c>
      <c r="O100" s="7"/>
      <c r="P100" s="32">
        <f t="shared" si="3"/>
        <v>0</v>
      </c>
      <c r="Q100" s="11"/>
      <c r="R100" s="12"/>
      <c r="S100" s="12"/>
      <c r="T100" s="12"/>
      <c r="U100" s="12"/>
      <c r="V100" s="12"/>
      <c r="W100" s="12"/>
      <c r="X100" s="12"/>
      <c r="Y100" s="12"/>
      <c r="Z100" s="12"/>
      <c r="AA100" s="12"/>
      <c r="AB100" s="12"/>
    </row>
    <row r="101" spans="1:28" ht="20.100000000000001" customHeight="1" x14ac:dyDescent="0.25">
      <c r="A101" s="6"/>
      <c r="B101" s="7">
        <f>+SUMIFS(Tablo1710612131618202224[SATIŞ TUTARI],Tablo1710612131618202224[TARİH],"&gt;=01/01/2026",Tablo1710612131618202224[TARİH],"&lt;=31/01/2026",Tablo1710612131618202224[MÜŞTERİ ADI],'GELİR İCMAL'!A101)</f>
        <v>0</v>
      </c>
      <c r="C101" s="7">
        <f>+SUMIFS(Tablo1710612131618202224[SATIŞ TUTARI],Tablo1710612131618202224[TARİH],"&gt;=01/02/2026",Tablo1710612131618202224[TARİH],"&lt;=28/02/2026",Tablo1710612131618202224[MÜŞTERİ ADI],'GELİR İCMAL'!A101)</f>
        <v>0</v>
      </c>
      <c r="D101" s="7"/>
      <c r="E101" s="7"/>
      <c r="F101" s="7"/>
      <c r="G101" s="7"/>
      <c r="H101" s="7"/>
      <c r="I101" s="7"/>
      <c r="J101" s="7"/>
      <c r="K101" s="7"/>
      <c r="L101" s="7"/>
      <c r="M101" s="7"/>
      <c r="N101" s="7">
        <f t="shared" si="2"/>
        <v>0</v>
      </c>
      <c r="O101" s="7"/>
      <c r="P101" s="32">
        <f t="shared" si="3"/>
        <v>0</v>
      </c>
      <c r="Q101" s="11"/>
      <c r="R101" s="12"/>
      <c r="S101" s="12"/>
      <c r="T101" s="12"/>
      <c r="U101" s="12"/>
      <c r="V101" s="12"/>
      <c r="W101" s="12"/>
      <c r="X101" s="12"/>
      <c r="Y101" s="12"/>
      <c r="Z101" s="12"/>
      <c r="AA101" s="12"/>
      <c r="AB101" s="12"/>
    </row>
    <row r="102" spans="1:28" ht="20.100000000000001" customHeight="1" x14ac:dyDescent="0.25">
      <c r="A102" s="6"/>
      <c r="B102" s="7">
        <f>+SUMIFS(Tablo1710612131618202224[SATIŞ TUTARI],Tablo1710612131618202224[TARİH],"&gt;=01/01/2026",Tablo1710612131618202224[TARİH],"&lt;=31/01/2026",Tablo1710612131618202224[MÜŞTERİ ADI],'GELİR İCMAL'!A102)</f>
        <v>0</v>
      </c>
      <c r="C102" s="7">
        <f>+SUMIFS(Tablo1710612131618202224[SATIŞ TUTARI],Tablo1710612131618202224[TARİH],"&gt;=01/02/2026",Tablo1710612131618202224[TARİH],"&lt;=28/02/2026",Tablo1710612131618202224[MÜŞTERİ ADI],'GELİR İCMAL'!A102)</f>
        <v>0</v>
      </c>
      <c r="D102" s="7"/>
      <c r="E102" s="7"/>
      <c r="F102" s="7"/>
      <c r="G102" s="7"/>
      <c r="H102" s="7"/>
      <c r="I102" s="7"/>
      <c r="J102" s="7"/>
      <c r="K102" s="7"/>
      <c r="L102" s="7"/>
      <c r="M102" s="7"/>
      <c r="N102" s="7">
        <f t="shared" si="2"/>
        <v>0</v>
      </c>
      <c r="O102" s="7"/>
      <c r="P102" s="32">
        <f t="shared" si="3"/>
        <v>0</v>
      </c>
      <c r="Q102" s="11"/>
      <c r="R102" s="12"/>
      <c r="S102" s="12"/>
      <c r="T102" s="12"/>
      <c r="U102" s="12"/>
      <c r="V102" s="12"/>
      <c r="W102" s="12"/>
      <c r="X102" s="12"/>
      <c r="Y102" s="12"/>
      <c r="Z102" s="12"/>
      <c r="AA102" s="12"/>
      <c r="AB102" s="12"/>
    </row>
    <row r="103" spans="1:28" ht="20.100000000000001" customHeight="1" x14ac:dyDescent="0.25">
      <c r="A103" s="6"/>
      <c r="B103" s="7">
        <f>+SUMIFS(Tablo1710612131618202224[SATIŞ TUTARI],Tablo1710612131618202224[TARİH],"&gt;=01/01/2026",Tablo1710612131618202224[TARİH],"&lt;=31/01/2026",Tablo1710612131618202224[MÜŞTERİ ADI],'GELİR İCMAL'!A103)</f>
        <v>0</v>
      </c>
      <c r="C103" s="7">
        <f>+SUMIFS(Tablo1710612131618202224[SATIŞ TUTARI],Tablo1710612131618202224[TARİH],"&gt;=01/02/2026",Tablo1710612131618202224[TARİH],"&lt;=28/02/2026",Tablo1710612131618202224[MÜŞTERİ ADI],'GELİR İCMAL'!A103)</f>
        <v>0</v>
      </c>
      <c r="D103" s="7"/>
      <c r="E103" s="7"/>
      <c r="F103" s="7"/>
      <c r="G103" s="7"/>
      <c r="H103" s="7"/>
      <c r="I103" s="7"/>
      <c r="J103" s="7"/>
      <c r="K103" s="7"/>
      <c r="L103" s="7"/>
      <c r="M103" s="7"/>
      <c r="N103" s="7">
        <f t="shared" si="2"/>
        <v>0</v>
      </c>
      <c r="O103" s="7"/>
      <c r="P103" s="32">
        <f t="shared" si="3"/>
        <v>0</v>
      </c>
      <c r="Q103" s="11"/>
      <c r="R103" s="12"/>
      <c r="S103" s="12"/>
      <c r="T103" s="12"/>
      <c r="U103" s="12"/>
      <c r="V103" s="12"/>
      <c r="W103" s="12"/>
      <c r="X103" s="12"/>
      <c r="Y103" s="12"/>
      <c r="Z103" s="12"/>
      <c r="AA103" s="12"/>
      <c r="AB103" s="12"/>
    </row>
    <row r="104" spans="1:28" ht="20.100000000000001" customHeight="1" x14ac:dyDescent="0.25">
      <c r="A104" s="6"/>
      <c r="B104" s="7">
        <f>+SUMIFS(Tablo1710612131618202224[SATIŞ TUTARI],Tablo1710612131618202224[TARİH],"&gt;=01/01/2026",Tablo1710612131618202224[TARİH],"&lt;=31/01/2026",Tablo1710612131618202224[MÜŞTERİ ADI],'GELİR İCMAL'!A104)</f>
        <v>0</v>
      </c>
      <c r="C104" s="7">
        <f>+SUMIFS(Tablo1710612131618202224[SATIŞ TUTARI],Tablo1710612131618202224[TARİH],"&gt;=01/02/2026",Tablo1710612131618202224[TARİH],"&lt;=28/02/2026",Tablo1710612131618202224[MÜŞTERİ ADI],'GELİR İCMAL'!A104)</f>
        <v>0</v>
      </c>
      <c r="D104" s="7"/>
      <c r="E104" s="7"/>
      <c r="F104" s="7"/>
      <c r="G104" s="7"/>
      <c r="H104" s="7"/>
      <c r="I104" s="7"/>
      <c r="J104" s="7"/>
      <c r="K104" s="7"/>
      <c r="L104" s="7"/>
      <c r="M104" s="7"/>
      <c r="N104" s="7">
        <f t="shared" si="2"/>
        <v>0</v>
      </c>
      <c r="O104" s="7"/>
      <c r="P104" s="32">
        <f t="shared" si="3"/>
        <v>0</v>
      </c>
      <c r="Q104" s="11"/>
      <c r="R104" s="12"/>
      <c r="S104" s="12"/>
      <c r="T104" s="12"/>
      <c r="U104" s="12"/>
      <c r="V104" s="12"/>
      <c r="W104" s="12"/>
      <c r="X104" s="12"/>
      <c r="Y104" s="12"/>
      <c r="Z104" s="12"/>
      <c r="AA104" s="12"/>
      <c r="AB104" s="12"/>
    </row>
    <row r="105" spans="1:28" ht="20.100000000000001" customHeight="1" x14ac:dyDescent="0.25">
      <c r="A105" s="6"/>
      <c r="B105" s="7">
        <f>+SUMIFS(Tablo1710612131618202224[SATIŞ TUTARI],Tablo1710612131618202224[TARİH],"&gt;=01/01/2026",Tablo1710612131618202224[TARİH],"&lt;=31/01/2026",Tablo1710612131618202224[MÜŞTERİ ADI],'GELİR İCMAL'!A105)</f>
        <v>0</v>
      </c>
      <c r="C105" s="7">
        <f>+SUMIFS(Tablo1710612131618202224[SATIŞ TUTARI],Tablo1710612131618202224[TARİH],"&gt;=01/02/2026",Tablo1710612131618202224[TARİH],"&lt;=28/02/2026",Tablo1710612131618202224[MÜŞTERİ ADI],'GELİR İCMAL'!A105)</f>
        <v>0</v>
      </c>
      <c r="D105" s="7"/>
      <c r="E105" s="7"/>
      <c r="F105" s="7"/>
      <c r="G105" s="7"/>
      <c r="H105" s="7"/>
      <c r="I105" s="7"/>
      <c r="J105" s="7"/>
      <c r="K105" s="7"/>
      <c r="L105" s="7"/>
      <c r="M105" s="7"/>
      <c r="N105" s="7">
        <f t="shared" si="2"/>
        <v>0</v>
      </c>
      <c r="O105" s="7"/>
      <c r="P105" s="32">
        <f t="shared" si="3"/>
        <v>0</v>
      </c>
      <c r="Q105" s="11"/>
      <c r="R105" s="12"/>
      <c r="S105" s="12"/>
      <c r="T105" s="12"/>
      <c r="U105" s="12"/>
      <c r="V105" s="12"/>
      <c r="W105" s="12"/>
      <c r="X105" s="12"/>
      <c r="Y105" s="12"/>
      <c r="Z105" s="12"/>
      <c r="AA105" s="12"/>
      <c r="AB105" s="12"/>
    </row>
    <row r="106" spans="1:28" ht="20.100000000000001" customHeight="1" x14ac:dyDescent="0.25">
      <c r="A106" s="6"/>
      <c r="B106" s="7">
        <f>+SUMIFS(Tablo1710612131618202224[SATIŞ TUTARI],Tablo1710612131618202224[TARİH],"&gt;=01/01/2026",Tablo1710612131618202224[TARİH],"&lt;=31/01/2026",Tablo1710612131618202224[MÜŞTERİ ADI],'GELİR İCMAL'!A106)</f>
        <v>0</v>
      </c>
      <c r="C106" s="7">
        <f>+SUMIFS(Tablo1710612131618202224[SATIŞ TUTARI],Tablo1710612131618202224[TARİH],"&gt;=01/02/2026",Tablo1710612131618202224[TARİH],"&lt;=28/02/2026",Tablo1710612131618202224[MÜŞTERİ ADI],'GELİR İCMAL'!A106)</f>
        <v>0</v>
      </c>
      <c r="D106" s="7"/>
      <c r="E106" s="7"/>
      <c r="F106" s="7"/>
      <c r="G106" s="7"/>
      <c r="H106" s="7"/>
      <c r="I106" s="7"/>
      <c r="J106" s="7"/>
      <c r="K106" s="7"/>
      <c r="L106" s="7"/>
      <c r="M106" s="7"/>
      <c r="N106" s="7">
        <f t="shared" si="2"/>
        <v>0</v>
      </c>
      <c r="O106" s="7"/>
      <c r="P106" s="32">
        <f t="shared" si="3"/>
        <v>0</v>
      </c>
      <c r="Q106" s="11"/>
      <c r="R106" s="12"/>
      <c r="S106" s="12"/>
      <c r="T106" s="12"/>
      <c r="U106" s="12"/>
      <c r="V106" s="12"/>
      <c r="W106" s="12"/>
      <c r="X106" s="12"/>
      <c r="Y106" s="12"/>
      <c r="Z106" s="12"/>
      <c r="AA106" s="12"/>
      <c r="AB106" s="12"/>
    </row>
    <row r="107" spans="1:28" ht="20.100000000000001" customHeight="1" x14ac:dyDescent="0.25">
      <c r="A107" s="6"/>
      <c r="B107" s="7">
        <f>+SUMIFS(Tablo1710612131618202224[SATIŞ TUTARI],Tablo1710612131618202224[TARİH],"&gt;=01/01/2026",Tablo1710612131618202224[TARİH],"&lt;=31/01/2026",Tablo1710612131618202224[MÜŞTERİ ADI],'GELİR İCMAL'!A107)</f>
        <v>0</v>
      </c>
      <c r="C107" s="7">
        <f>+SUMIFS(Tablo1710612131618202224[SATIŞ TUTARI],Tablo1710612131618202224[TARİH],"&gt;=01/02/2026",Tablo1710612131618202224[TARİH],"&lt;=28/02/2026",Tablo1710612131618202224[MÜŞTERİ ADI],'GELİR İCMAL'!A107)</f>
        <v>0</v>
      </c>
      <c r="D107" s="7"/>
      <c r="E107" s="7"/>
      <c r="F107" s="7"/>
      <c r="G107" s="7"/>
      <c r="H107" s="7"/>
      <c r="I107" s="7"/>
      <c r="J107" s="7"/>
      <c r="K107" s="7"/>
      <c r="L107" s="7"/>
      <c r="M107" s="7"/>
      <c r="N107" s="7">
        <f t="shared" si="2"/>
        <v>0</v>
      </c>
      <c r="O107" s="7"/>
      <c r="P107" s="32">
        <f t="shared" si="3"/>
        <v>0</v>
      </c>
      <c r="Q107" s="11"/>
      <c r="R107" s="12"/>
      <c r="S107" s="12"/>
      <c r="T107" s="12"/>
      <c r="U107" s="12"/>
      <c r="V107" s="12"/>
      <c r="W107" s="12"/>
      <c r="X107" s="12"/>
      <c r="Y107" s="12"/>
      <c r="Z107" s="12"/>
      <c r="AA107" s="12"/>
      <c r="AB107" s="12"/>
    </row>
    <row r="108" spans="1:28" ht="20.100000000000001" customHeight="1" x14ac:dyDescent="0.25">
      <c r="A108" s="6"/>
      <c r="B108" s="7">
        <f>+SUMIFS(Tablo1710612131618202224[SATIŞ TUTARI],Tablo1710612131618202224[TARİH],"&gt;=01/01/2026",Tablo1710612131618202224[TARİH],"&lt;=31/01/2026",Tablo1710612131618202224[MÜŞTERİ ADI],'GELİR İCMAL'!A108)</f>
        <v>0</v>
      </c>
      <c r="C108" s="7">
        <f>+SUMIFS(Tablo1710612131618202224[SATIŞ TUTARI],Tablo1710612131618202224[TARİH],"&gt;=01/02/2026",Tablo1710612131618202224[TARİH],"&lt;=28/02/2026",Tablo1710612131618202224[MÜŞTERİ ADI],'GELİR İCMAL'!A108)</f>
        <v>0</v>
      </c>
      <c r="D108" s="7"/>
      <c r="E108" s="7"/>
      <c r="F108" s="7"/>
      <c r="G108" s="7"/>
      <c r="H108" s="7"/>
      <c r="I108" s="7"/>
      <c r="J108" s="7"/>
      <c r="K108" s="7"/>
      <c r="L108" s="7"/>
      <c r="M108" s="7"/>
      <c r="N108" s="7">
        <f t="shared" si="2"/>
        <v>0</v>
      </c>
      <c r="O108" s="7"/>
      <c r="P108" s="32">
        <f t="shared" si="3"/>
        <v>0</v>
      </c>
      <c r="Q108" s="11"/>
      <c r="R108" s="12"/>
      <c r="S108" s="12"/>
      <c r="T108" s="12"/>
      <c r="U108" s="12"/>
      <c r="V108" s="12"/>
      <c r="W108" s="12"/>
      <c r="X108" s="12"/>
      <c r="Y108" s="12"/>
      <c r="Z108" s="12"/>
      <c r="AA108" s="12"/>
      <c r="AB108" s="12"/>
    </row>
    <row r="109" spans="1:28" ht="20.100000000000001" customHeight="1" x14ac:dyDescent="0.25">
      <c r="A109" s="6"/>
      <c r="B109" s="7">
        <f>+SUMIFS(Tablo1710612131618202224[SATIŞ TUTARI],Tablo1710612131618202224[TARİH],"&gt;=01/01/2026",Tablo1710612131618202224[TARİH],"&lt;=31/01/2026",Tablo1710612131618202224[MÜŞTERİ ADI],'GELİR İCMAL'!A109)</f>
        <v>0</v>
      </c>
      <c r="C109" s="7">
        <f>+SUMIFS(Tablo1710612131618202224[SATIŞ TUTARI],Tablo1710612131618202224[TARİH],"&gt;=01/02/2026",Tablo1710612131618202224[TARİH],"&lt;=28/02/2026",Tablo1710612131618202224[MÜŞTERİ ADI],'GELİR İCMAL'!A109)</f>
        <v>0</v>
      </c>
      <c r="D109" s="7"/>
      <c r="E109" s="7"/>
      <c r="F109" s="7"/>
      <c r="G109" s="7"/>
      <c r="H109" s="7"/>
      <c r="I109" s="7"/>
      <c r="J109" s="7"/>
      <c r="K109" s="7"/>
      <c r="L109" s="7"/>
      <c r="M109" s="7"/>
      <c r="N109" s="7">
        <f t="shared" si="2"/>
        <v>0</v>
      </c>
      <c r="O109" s="7"/>
      <c r="P109" s="32">
        <f t="shared" si="3"/>
        <v>0</v>
      </c>
      <c r="Q109" s="11"/>
      <c r="R109" s="12"/>
      <c r="S109" s="12"/>
      <c r="T109" s="12"/>
      <c r="U109" s="12"/>
      <c r="V109" s="12"/>
      <c r="W109" s="12"/>
      <c r="X109" s="12"/>
      <c r="Y109" s="12"/>
      <c r="Z109" s="12"/>
      <c r="AA109" s="12"/>
      <c r="AB109" s="12"/>
    </row>
    <row r="110" spans="1:28" ht="20.100000000000001" customHeight="1" x14ac:dyDescent="0.25">
      <c r="A110" s="6"/>
      <c r="B110" s="7">
        <f>+SUMIFS(Tablo1710612131618202224[SATIŞ TUTARI],Tablo1710612131618202224[TARİH],"&gt;=01/01/2026",Tablo1710612131618202224[TARİH],"&lt;=31/01/2026",Tablo1710612131618202224[MÜŞTERİ ADI],'GELİR İCMAL'!A110)</f>
        <v>0</v>
      </c>
      <c r="C110" s="7">
        <f>+SUMIFS(Tablo1710612131618202224[SATIŞ TUTARI],Tablo1710612131618202224[TARİH],"&gt;=01/02/2026",Tablo1710612131618202224[TARİH],"&lt;=28/02/2026",Tablo1710612131618202224[MÜŞTERİ ADI],'GELİR İCMAL'!A110)</f>
        <v>0</v>
      </c>
      <c r="D110" s="7"/>
      <c r="E110" s="7"/>
      <c r="F110" s="7"/>
      <c r="G110" s="7"/>
      <c r="H110" s="7"/>
      <c r="I110" s="7"/>
      <c r="J110" s="7"/>
      <c r="K110" s="7"/>
      <c r="L110" s="7"/>
      <c r="M110" s="7"/>
      <c r="N110" s="7">
        <f t="shared" si="2"/>
        <v>0</v>
      </c>
      <c r="O110" s="7"/>
      <c r="P110" s="32">
        <f t="shared" si="3"/>
        <v>0</v>
      </c>
      <c r="Q110" s="11"/>
      <c r="R110" s="12"/>
      <c r="S110" s="12"/>
      <c r="T110" s="12"/>
      <c r="U110" s="12"/>
      <c r="V110" s="12"/>
      <c r="W110" s="12"/>
      <c r="X110" s="12"/>
      <c r="Y110" s="12"/>
      <c r="Z110" s="12"/>
      <c r="AA110" s="12"/>
      <c r="AB110" s="12"/>
    </row>
    <row r="111" spans="1:28" ht="20.100000000000001" customHeight="1" x14ac:dyDescent="0.25">
      <c r="A111" s="6"/>
      <c r="B111" s="7">
        <f>+SUMIFS(Tablo1710612131618202224[SATIŞ TUTARI],Tablo1710612131618202224[TARİH],"&gt;=01/01/2026",Tablo1710612131618202224[TARİH],"&lt;=31/01/2026",Tablo1710612131618202224[MÜŞTERİ ADI],'GELİR İCMAL'!A111)</f>
        <v>0</v>
      </c>
      <c r="C111" s="7">
        <f>+SUMIFS(Tablo1710612131618202224[SATIŞ TUTARI],Tablo1710612131618202224[TARİH],"&gt;=01/02/2026",Tablo1710612131618202224[TARİH],"&lt;=28/02/2026",Tablo1710612131618202224[MÜŞTERİ ADI],'GELİR İCMAL'!A111)</f>
        <v>0</v>
      </c>
      <c r="D111" s="7"/>
      <c r="E111" s="7"/>
      <c r="F111" s="7"/>
      <c r="G111" s="7"/>
      <c r="H111" s="7"/>
      <c r="I111" s="7"/>
      <c r="J111" s="7"/>
      <c r="K111" s="7"/>
      <c r="L111" s="7"/>
      <c r="M111" s="7"/>
      <c r="N111" s="7">
        <f t="shared" si="2"/>
        <v>0</v>
      </c>
      <c r="O111" s="7"/>
      <c r="P111" s="32">
        <f t="shared" si="3"/>
        <v>0</v>
      </c>
      <c r="Q111" s="11"/>
      <c r="R111" s="12"/>
      <c r="S111" s="12"/>
      <c r="T111" s="12"/>
      <c r="U111" s="12"/>
      <c r="V111" s="12"/>
      <c r="W111" s="12"/>
      <c r="X111" s="12"/>
      <c r="Y111" s="12"/>
      <c r="Z111" s="12"/>
      <c r="AA111" s="12"/>
      <c r="AB111" s="12"/>
    </row>
    <row r="112" spans="1:28" ht="20.100000000000001" customHeight="1" x14ac:dyDescent="0.25">
      <c r="A112" s="6"/>
      <c r="B112" s="7">
        <f>+SUMIFS(Tablo1710612131618202224[SATIŞ TUTARI],Tablo1710612131618202224[TARİH],"&gt;=01/01/2026",Tablo1710612131618202224[TARİH],"&lt;=31/01/2026",Tablo1710612131618202224[MÜŞTERİ ADI],'GELİR İCMAL'!A112)</f>
        <v>0</v>
      </c>
      <c r="C112" s="7">
        <f>+SUMIFS(Tablo1710612131618202224[SATIŞ TUTARI],Tablo1710612131618202224[TARİH],"&gt;=01/02/2026",Tablo1710612131618202224[TARİH],"&lt;=28/02/2026",Tablo1710612131618202224[MÜŞTERİ ADI],'GELİR İCMAL'!A112)</f>
        <v>0</v>
      </c>
      <c r="D112" s="7"/>
      <c r="E112" s="7"/>
      <c r="F112" s="7"/>
      <c r="G112" s="7"/>
      <c r="H112" s="7"/>
      <c r="I112" s="7"/>
      <c r="J112" s="7"/>
      <c r="K112" s="7"/>
      <c r="L112" s="7"/>
      <c r="M112" s="7"/>
      <c r="N112" s="7">
        <f t="shared" si="2"/>
        <v>0</v>
      </c>
      <c r="O112" s="7"/>
      <c r="P112" s="32">
        <f t="shared" si="3"/>
        <v>0</v>
      </c>
      <c r="Q112" s="11"/>
      <c r="R112" s="12"/>
      <c r="S112" s="12"/>
      <c r="T112" s="12"/>
      <c r="U112" s="12"/>
      <c r="V112" s="12"/>
      <c r="W112" s="12"/>
      <c r="X112" s="12"/>
      <c r="Y112" s="12"/>
      <c r="Z112" s="12"/>
      <c r="AA112" s="12"/>
      <c r="AB112" s="12"/>
    </row>
    <row r="113" spans="1:28" ht="20.100000000000001" customHeight="1" x14ac:dyDescent="0.25">
      <c r="A113" s="6"/>
      <c r="B113" s="7">
        <f>+SUMIFS(Tablo1710612131618202224[SATIŞ TUTARI],Tablo1710612131618202224[TARİH],"&gt;=01/01/2026",Tablo1710612131618202224[TARİH],"&lt;=31/01/2026",Tablo1710612131618202224[MÜŞTERİ ADI],'GELİR İCMAL'!A113)</f>
        <v>0</v>
      </c>
      <c r="C113" s="7">
        <f>+SUMIFS(Tablo1710612131618202224[SATIŞ TUTARI],Tablo1710612131618202224[TARİH],"&gt;=01/02/2026",Tablo1710612131618202224[TARİH],"&lt;=28/02/2026",Tablo1710612131618202224[MÜŞTERİ ADI],'GELİR İCMAL'!A113)</f>
        <v>0</v>
      </c>
      <c r="D113" s="7"/>
      <c r="E113" s="7"/>
      <c r="F113" s="7"/>
      <c r="G113" s="7"/>
      <c r="H113" s="7"/>
      <c r="I113" s="7"/>
      <c r="J113" s="7"/>
      <c r="K113" s="7"/>
      <c r="L113" s="7"/>
      <c r="M113" s="7"/>
      <c r="N113" s="7">
        <f t="shared" si="2"/>
        <v>0</v>
      </c>
      <c r="O113" s="7"/>
      <c r="P113" s="32">
        <f t="shared" si="3"/>
        <v>0</v>
      </c>
      <c r="Q113" s="11"/>
      <c r="R113" s="12"/>
      <c r="S113" s="12"/>
      <c r="T113" s="12"/>
      <c r="U113" s="12"/>
      <c r="V113" s="12"/>
      <c r="W113" s="12"/>
      <c r="X113" s="12"/>
      <c r="Y113" s="12"/>
      <c r="Z113" s="12"/>
      <c r="AA113" s="12"/>
      <c r="AB113" s="12"/>
    </row>
    <row r="114" spans="1:28" ht="20.100000000000001" customHeight="1" x14ac:dyDescent="0.25">
      <c r="A114" s="6"/>
      <c r="B114" s="7">
        <f>+SUMIFS(Tablo1710612131618202224[SATIŞ TUTARI],Tablo1710612131618202224[TARİH],"&gt;=01/01/2026",Tablo1710612131618202224[TARİH],"&lt;=31/01/2026",Tablo1710612131618202224[MÜŞTERİ ADI],'GELİR İCMAL'!A114)</f>
        <v>0</v>
      </c>
      <c r="C114" s="7">
        <f>+SUMIFS(Tablo1710612131618202224[SATIŞ TUTARI],Tablo1710612131618202224[TARİH],"&gt;=01/02/2026",Tablo1710612131618202224[TARİH],"&lt;=28/02/2026",Tablo1710612131618202224[MÜŞTERİ ADI],'GELİR İCMAL'!A114)</f>
        <v>0</v>
      </c>
      <c r="D114" s="7"/>
      <c r="E114" s="7"/>
      <c r="F114" s="7"/>
      <c r="G114" s="7"/>
      <c r="H114" s="7"/>
      <c r="I114" s="7"/>
      <c r="J114" s="7"/>
      <c r="K114" s="7"/>
      <c r="L114" s="7"/>
      <c r="M114" s="7"/>
      <c r="N114" s="7">
        <f t="shared" si="2"/>
        <v>0</v>
      </c>
      <c r="O114" s="7"/>
      <c r="P114" s="32">
        <f t="shared" si="3"/>
        <v>0</v>
      </c>
      <c r="Q114" s="11"/>
      <c r="R114" s="12"/>
      <c r="S114" s="12"/>
      <c r="T114" s="12"/>
      <c r="U114" s="12"/>
      <c r="V114" s="12"/>
      <c r="W114" s="12"/>
      <c r="X114" s="12"/>
      <c r="Y114" s="12"/>
      <c r="Z114" s="12"/>
      <c r="AA114" s="12"/>
      <c r="AB114" s="12"/>
    </row>
    <row r="115" spans="1:28" ht="20.100000000000001" customHeight="1" x14ac:dyDescent="0.25">
      <c r="A115" s="6"/>
      <c r="B115" s="7">
        <f>+SUMIFS(Tablo1710612131618202224[SATIŞ TUTARI],Tablo1710612131618202224[TARİH],"&gt;=01/01/2026",Tablo1710612131618202224[TARİH],"&lt;=31/01/2026",Tablo1710612131618202224[MÜŞTERİ ADI],'GELİR İCMAL'!A115)</f>
        <v>0</v>
      </c>
      <c r="C115" s="7">
        <f>+SUMIFS(Tablo1710612131618202224[SATIŞ TUTARI],Tablo1710612131618202224[TARİH],"&gt;=01/02/2026",Tablo1710612131618202224[TARİH],"&lt;=28/02/2026",Tablo1710612131618202224[MÜŞTERİ ADI],'GELİR İCMAL'!A115)</f>
        <v>0</v>
      </c>
      <c r="D115" s="7"/>
      <c r="E115" s="7"/>
      <c r="F115" s="7"/>
      <c r="G115" s="7"/>
      <c r="H115" s="7"/>
      <c r="I115" s="7"/>
      <c r="J115" s="7"/>
      <c r="K115" s="7"/>
      <c r="L115" s="7"/>
      <c r="M115" s="7"/>
      <c r="N115" s="7">
        <f t="shared" si="2"/>
        <v>0</v>
      </c>
      <c r="O115" s="7"/>
      <c r="P115" s="32">
        <f t="shared" si="3"/>
        <v>0</v>
      </c>
      <c r="Q115" s="11"/>
      <c r="R115" s="12"/>
      <c r="S115" s="12"/>
      <c r="T115" s="12"/>
      <c r="U115" s="12"/>
      <c r="V115" s="12"/>
      <c r="W115" s="12"/>
      <c r="X115" s="12"/>
      <c r="Y115" s="12"/>
      <c r="Z115" s="12"/>
      <c r="AA115" s="12"/>
      <c r="AB115" s="12"/>
    </row>
    <row r="116" spans="1:28" ht="20.100000000000001" customHeight="1" x14ac:dyDescent="0.25">
      <c r="A116" s="6"/>
      <c r="B116" s="7">
        <f>+SUMIFS(Tablo1710612131618202224[SATIŞ TUTARI],Tablo1710612131618202224[TARİH],"&gt;=01/01/2026",Tablo1710612131618202224[TARİH],"&lt;=31/01/2026",Tablo1710612131618202224[MÜŞTERİ ADI],'GELİR İCMAL'!A116)</f>
        <v>0</v>
      </c>
      <c r="C116" s="7">
        <f>+SUMIFS(Tablo1710612131618202224[SATIŞ TUTARI],Tablo1710612131618202224[TARİH],"&gt;=01/02/2026",Tablo1710612131618202224[TARİH],"&lt;=28/02/2026",Tablo1710612131618202224[MÜŞTERİ ADI],'GELİR İCMAL'!A116)</f>
        <v>0</v>
      </c>
      <c r="D116" s="7"/>
      <c r="E116" s="7"/>
      <c r="F116" s="7"/>
      <c r="G116" s="7"/>
      <c r="H116" s="7"/>
      <c r="I116" s="7"/>
      <c r="J116" s="7"/>
      <c r="K116" s="7"/>
      <c r="L116" s="7"/>
      <c r="M116" s="7"/>
      <c r="N116" s="7">
        <f t="shared" si="2"/>
        <v>0</v>
      </c>
      <c r="O116" s="7"/>
      <c r="P116" s="32">
        <f t="shared" si="3"/>
        <v>0</v>
      </c>
      <c r="Q116" s="11"/>
      <c r="R116" s="12"/>
      <c r="S116" s="12"/>
      <c r="T116" s="12"/>
      <c r="U116" s="12"/>
      <c r="V116" s="12"/>
      <c r="W116" s="12"/>
      <c r="X116" s="12"/>
      <c r="Y116" s="12"/>
      <c r="Z116" s="12"/>
      <c r="AA116" s="12"/>
      <c r="AB116" s="12"/>
    </row>
    <row r="117" spans="1:28" ht="20.100000000000001" customHeight="1" x14ac:dyDescent="0.25">
      <c r="A117" s="6"/>
      <c r="B117" s="7">
        <f>+SUMIFS(Tablo1710612131618202224[SATIŞ TUTARI],Tablo1710612131618202224[TARİH],"&gt;=01/01/2026",Tablo1710612131618202224[TARİH],"&lt;=31/01/2026",Tablo1710612131618202224[MÜŞTERİ ADI],'GELİR İCMAL'!A117)</f>
        <v>0</v>
      </c>
      <c r="C117" s="7">
        <f>+SUMIFS(Tablo1710612131618202224[SATIŞ TUTARI],Tablo1710612131618202224[TARİH],"&gt;=01/02/2026",Tablo1710612131618202224[TARİH],"&lt;=28/02/2026",Tablo1710612131618202224[MÜŞTERİ ADI],'GELİR İCMAL'!A117)</f>
        <v>0</v>
      </c>
      <c r="D117" s="7"/>
      <c r="E117" s="7"/>
      <c r="F117" s="7"/>
      <c r="G117" s="7"/>
      <c r="H117" s="7"/>
      <c r="I117" s="7"/>
      <c r="J117" s="7"/>
      <c r="K117" s="7"/>
      <c r="L117" s="7"/>
      <c r="M117" s="7"/>
      <c r="N117" s="7">
        <f t="shared" si="2"/>
        <v>0</v>
      </c>
      <c r="O117" s="7"/>
      <c r="P117" s="32">
        <f t="shared" si="3"/>
        <v>0</v>
      </c>
      <c r="Q117" s="11"/>
      <c r="R117" s="12"/>
      <c r="S117" s="12"/>
      <c r="T117" s="12"/>
      <c r="U117" s="12"/>
      <c r="V117" s="12"/>
      <c r="W117" s="12"/>
      <c r="X117" s="12"/>
      <c r="Y117" s="12"/>
      <c r="Z117" s="12"/>
      <c r="AA117" s="12"/>
      <c r="AB117" s="12"/>
    </row>
    <row r="118" spans="1:28" ht="20.100000000000001" customHeight="1" x14ac:dyDescent="0.25">
      <c r="A118" s="6"/>
      <c r="B118" s="7">
        <f>+SUMIFS(Tablo1710612131618202224[SATIŞ TUTARI],Tablo1710612131618202224[TARİH],"&gt;=01/01/2026",Tablo1710612131618202224[TARİH],"&lt;=31/01/2026",Tablo1710612131618202224[MÜŞTERİ ADI],'GELİR İCMAL'!A118)</f>
        <v>0</v>
      </c>
      <c r="C118" s="7">
        <f>+SUMIFS(Tablo1710612131618202224[SATIŞ TUTARI],Tablo1710612131618202224[TARİH],"&gt;=01/02/2026",Tablo1710612131618202224[TARİH],"&lt;=28/02/2026",Tablo1710612131618202224[MÜŞTERİ ADI],'GELİR İCMAL'!A118)</f>
        <v>0</v>
      </c>
      <c r="D118" s="7"/>
      <c r="E118" s="7"/>
      <c r="F118" s="7"/>
      <c r="G118" s="7"/>
      <c r="H118" s="7"/>
      <c r="I118" s="7"/>
      <c r="J118" s="7"/>
      <c r="K118" s="7"/>
      <c r="L118" s="7"/>
      <c r="M118" s="7"/>
      <c r="N118" s="7">
        <f t="shared" si="2"/>
        <v>0</v>
      </c>
      <c r="O118" s="7"/>
      <c r="P118" s="32">
        <f t="shared" si="3"/>
        <v>0</v>
      </c>
      <c r="Q118" s="11"/>
      <c r="R118" s="12"/>
      <c r="S118" s="12"/>
      <c r="T118" s="12"/>
      <c r="U118" s="12"/>
      <c r="V118" s="12"/>
      <c r="W118" s="12"/>
      <c r="X118" s="12"/>
      <c r="Y118" s="12"/>
      <c r="Z118" s="12"/>
      <c r="AA118" s="12"/>
      <c r="AB118" s="12"/>
    </row>
    <row r="119" spans="1:28" ht="20.100000000000001" customHeight="1" x14ac:dyDescent="0.25">
      <c r="A119" s="6"/>
      <c r="B119" s="7">
        <f>+SUMIFS(Tablo1710612131618202224[SATIŞ TUTARI],Tablo1710612131618202224[TARİH],"&gt;=01/01/2026",Tablo1710612131618202224[TARİH],"&lt;=31/01/2026",Tablo1710612131618202224[MÜŞTERİ ADI],'GELİR İCMAL'!A119)</f>
        <v>0</v>
      </c>
      <c r="C119" s="7">
        <f>+SUMIFS(Tablo1710612131618202224[SATIŞ TUTARI],Tablo1710612131618202224[TARİH],"&gt;=01/02/2026",Tablo1710612131618202224[TARİH],"&lt;=28/02/2026",Tablo1710612131618202224[MÜŞTERİ ADI],'GELİR İCMAL'!A119)</f>
        <v>0</v>
      </c>
      <c r="D119" s="7"/>
      <c r="E119" s="7"/>
      <c r="F119" s="7"/>
      <c r="G119" s="7"/>
      <c r="H119" s="7"/>
      <c r="I119" s="7"/>
      <c r="J119" s="7"/>
      <c r="K119" s="7"/>
      <c r="L119" s="7"/>
      <c r="M119" s="7"/>
      <c r="N119" s="7">
        <f t="shared" si="2"/>
        <v>0</v>
      </c>
      <c r="O119" s="7"/>
      <c r="P119" s="32">
        <f t="shared" si="3"/>
        <v>0</v>
      </c>
      <c r="Q119" s="11"/>
      <c r="R119" s="12"/>
      <c r="S119" s="12"/>
      <c r="T119" s="12"/>
      <c r="U119" s="12"/>
      <c r="V119" s="12"/>
      <c r="W119" s="12"/>
      <c r="X119" s="12"/>
      <c r="Y119" s="12"/>
      <c r="Z119" s="12"/>
      <c r="AA119" s="12"/>
      <c r="AB119" s="12"/>
    </row>
    <row r="120" spans="1:28" ht="20.100000000000001" customHeight="1" x14ac:dyDescent="0.25">
      <c r="A120" s="6"/>
      <c r="B120" s="7">
        <f>+SUMIFS(Tablo1710612131618202224[SATIŞ TUTARI],Tablo1710612131618202224[TARİH],"&gt;=01/01/2026",Tablo1710612131618202224[TARİH],"&lt;=31/01/2026",Tablo1710612131618202224[MÜŞTERİ ADI],'GELİR İCMAL'!A120)</f>
        <v>0</v>
      </c>
      <c r="C120" s="7">
        <f>+SUMIFS(Tablo1710612131618202224[SATIŞ TUTARI],Tablo1710612131618202224[TARİH],"&gt;=01/02/2026",Tablo1710612131618202224[TARİH],"&lt;=28/02/2026",Tablo1710612131618202224[MÜŞTERİ ADI],'GELİR İCMAL'!A120)</f>
        <v>0</v>
      </c>
      <c r="D120" s="7"/>
      <c r="E120" s="7"/>
      <c r="F120" s="7"/>
      <c r="G120" s="7"/>
      <c r="H120" s="7"/>
      <c r="I120" s="7"/>
      <c r="J120" s="7"/>
      <c r="K120" s="7"/>
      <c r="L120" s="7"/>
      <c r="M120" s="7"/>
      <c r="N120" s="7">
        <f t="shared" si="2"/>
        <v>0</v>
      </c>
      <c r="O120" s="7"/>
      <c r="P120" s="32">
        <f t="shared" si="3"/>
        <v>0</v>
      </c>
      <c r="Q120" s="11"/>
      <c r="R120" s="12"/>
      <c r="S120" s="12"/>
      <c r="T120" s="12"/>
      <c r="U120" s="12"/>
      <c r="V120" s="12"/>
      <c r="W120" s="12"/>
      <c r="X120" s="12"/>
      <c r="Y120" s="12"/>
      <c r="Z120" s="12"/>
      <c r="AA120" s="12"/>
      <c r="AB120" s="12"/>
    </row>
    <row r="121" spans="1:28" ht="20.100000000000001" customHeight="1" x14ac:dyDescent="0.25">
      <c r="A121" s="6"/>
      <c r="B121" s="7">
        <f>+SUMIFS(Tablo1710612131618202224[SATIŞ TUTARI],Tablo1710612131618202224[TARİH],"&gt;=01/01/2026",Tablo1710612131618202224[TARİH],"&lt;=31/01/2026",Tablo1710612131618202224[MÜŞTERİ ADI],'GELİR İCMAL'!A121)</f>
        <v>0</v>
      </c>
      <c r="C121" s="7">
        <f>+SUMIFS(Tablo1710612131618202224[SATIŞ TUTARI],Tablo1710612131618202224[TARİH],"&gt;=01/02/2026",Tablo1710612131618202224[TARİH],"&lt;=28/02/2026",Tablo1710612131618202224[MÜŞTERİ ADI],'GELİR İCMAL'!A121)</f>
        <v>0</v>
      </c>
      <c r="D121" s="7"/>
      <c r="E121" s="7"/>
      <c r="F121" s="7"/>
      <c r="G121" s="7"/>
      <c r="H121" s="7"/>
      <c r="I121" s="7"/>
      <c r="J121" s="7"/>
      <c r="K121" s="7"/>
      <c r="L121" s="7"/>
      <c r="M121" s="7"/>
      <c r="N121" s="7">
        <f t="shared" si="2"/>
        <v>0</v>
      </c>
      <c r="O121" s="7"/>
      <c r="P121" s="32">
        <f t="shared" si="3"/>
        <v>0</v>
      </c>
      <c r="Q121" s="11"/>
      <c r="R121" s="12"/>
      <c r="S121" s="12"/>
      <c r="T121" s="12"/>
      <c r="U121" s="12"/>
      <c r="V121" s="12"/>
      <c r="W121" s="12"/>
      <c r="X121" s="12"/>
      <c r="Y121" s="12"/>
      <c r="Z121" s="12"/>
      <c r="AA121" s="12"/>
      <c r="AB121" s="12"/>
    </row>
    <row r="122" spans="1:28" ht="20.100000000000001" customHeight="1" x14ac:dyDescent="0.25">
      <c r="A122" s="5"/>
      <c r="B122" s="8">
        <f t="shared" ref="B122:M122" si="4">SUM(B3:B121)</f>
        <v>0</v>
      </c>
      <c r="C122" s="8">
        <f t="shared" si="4"/>
        <v>0</v>
      </c>
      <c r="D122" s="8">
        <f t="shared" si="4"/>
        <v>0</v>
      </c>
      <c r="E122" s="8">
        <f t="shared" si="4"/>
        <v>0</v>
      </c>
      <c r="F122" s="8">
        <f t="shared" si="4"/>
        <v>0</v>
      </c>
      <c r="G122" s="8">
        <f t="shared" si="4"/>
        <v>0</v>
      </c>
      <c r="H122" s="8">
        <f t="shared" si="4"/>
        <v>0</v>
      </c>
      <c r="I122" s="8">
        <f t="shared" si="4"/>
        <v>0</v>
      </c>
      <c r="J122" s="8">
        <f t="shared" si="4"/>
        <v>0</v>
      </c>
      <c r="K122" s="8">
        <f t="shared" si="4"/>
        <v>0</v>
      </c>
      <c r="L122" s="8">
        <f t="shared" si="4"/>
        <v>0</v>
      </c>
      <c r="M122" s="8">
        <f t="shared" si="4"/>
        <v>0</v>
      </c>
      <c r="N122" s="8">
        <f>SUM(N3:N121)</f>
        <v>0</v>
      </c>
      <c r="O122" s="8">
        <f>SUM(O3:O121)</f>
        <v>0</v>
      </c>
      <c r="P122" s="13">
        <f>+N122-O122</f>
        <v>0</v>
      </c>
      <c r="Q122" s="11">
        <f>SUM(Q3:Q121)</f>
        <v>0</v>
      </c>
      <c r="R122" s="12">
        <f t="shared" ref="R122:AB122" si="5">SUM(R3:R121)</f>
        <v>0</v>
      </c>
      <c r="S122" s="12">
        <f t="shared" si="5"/>
        <v>0</v>
      </c>
      <c r="T122" s="12">
        <f t="shared" si="5"/>
        <v>0</v>
      </c>
      <c r="U122" s="12">
        <f t="shared" si="5"/>
        <v>0</v>
      </c>
      <c r="V122" s="12">
        <f t="shared" si="5"/>
        <v>0</v>
      </c>
      <c r="W122" s="12">
        <f t="shared" si="5"/>
        <v>0</v>
      </c>
      <c r="X122" s="12">
        <f t="shared" si="5"/>
        <v>0</v>
      </c>
      <c r="Y122" s="12">
        <f t="shared" si="5"/>
        <v>0</v>
      </c>
      <c r="Z122" s="12">
        <f t="shared" si="5"/>
        <v>0</v>
      </c>
      <c r="AA122" s="12">
        <f t="shared" si="5"/>
        <v>0</v>
      </c>
      <c r="AB122" s="12">
        <f t="shared" si="5"/>
        <v>0</v>
      </c>
    </row>
    <row r="123" spans="1:28" ht="18.75" x14ac:dyDescent="0.25">
      <c r="B123" s="4"/>
      <c r="C123" s="4"/>
      <c r="D123" s="4"/>
      <c r="E123" s="4"/>
      <c r="F123" s="4"/>
      <c r="G123" s="4"/>
      <c r="H123" s="4"/>
      <c r="I123" s="4"/>
      <c r="J123" s="4"/>
      <c r="K123" s="4"/>
      <c r="L123" s="4"/>
      <c r="M123" s="4"/>
      <c r="N123" s="4"/>
      <c r="O123" s="4"/>
      <c r="P123" s="19" t="str">
        <f>+IF(Q123=P122,"HATA YOK","HATA VAR")</f>
        <v>HATA YOK</v>
      </c>
      <c r="Q123" s="103">
        <f>+SUM(Q122:AB122)</f>
        <v>0</v>
      </c>
      <c r="R123" s="104"/>
      <c r="S123" s="104"/>
      <c r="T123" s="104"/>
      <c r="U123" s="104"/>
      <c r="V123" s="104"/>
      <c r="W123" s="104"/>
      <c r="X123" s="104"/>
      <c r="Y123" s="104"/>
      <c r="Z123" s="104"/>
      <c r="AA123" s="104"/>
      <c r="AB123" s="105"/>
    </row>
    <row r="124" spans="1:28" x14ac:dyDescent="0.25">
      <c r="B124" s="4"/>
      <c r="C124" s="4"/>
      <c r="D124" s="4"/>
      <c r="E124" s="4"/>
      <c r="F124" s="4"/>
      <c r="G124" s="4"/>
      <c r="H124" s="4"/>
      <c r="I124" s="4"/>
      <c r="J124" s="4"/>
      <c r="K124" s="4"/>
      <c r="L124" s="4"/>
      <c r="M124" s="4"/>
      <c r="N124" s="4"/>
      <c r="O124" s="4"/>
      <c r="P124" s="4"/>
    </row>
    <row r="125" spans="1:28" x14ac:dyDescent="0.25">
      <c r="B125" s="4"/>
      <c r="C125" s="4"/>
      <c r="D125" s="4"/>
      <c r="E125" s="4"/>
      <c r="F125" s="4"/>
      <c r="G125" s="4"/>
      <c r="H125" s="4"/>
      <c r="I125" s="4"/>
      <c r="J125" s="4"/>
      <c r="K125" s="4"/>
      <c r="L125" s="4"/>
      <c r="M125" s="4"/>
      <c r="N125" s="4"/>
      <c r="O125" s="4"/>
      <c r="P125" s="4"/>
    </row>
    <row r="126" spans="1:28" x14ac:dyDescent="0.25">
      <c r="B126" s="4"/>
      <c r="C126" s="4"/>
      <c r="D126" s="4"/>
      <c r="E126" s="4"/>
      <c r="F126" s="4"/>
      <c r="G126" s="4"/>
      <c r="H126" s="4"/>
      <c r="I126" s="4"/>
      <c r="J126" s="4"/>
      <c r="K126" s="4"/>
      <c r="L126" s="4"/>
      <c r="M126" s="4"/>
    </row>
    <row r="127" spans="1:28" x14ac:dyDescent="0.25">
      <c r="B127" s="4"/>
      <c r="C127" s="4"/>
      <c r="D127" s="4"/>
      <c r="E127" s="4"/>
      <c r="F127" s="4"/>
      <c r="G127" s="4"/>
      <c r="H127" s="4"/>
      <c r="I127" s="4"/>
      <c r="J127" s="4"/>
      <c r="K127" s="4"/>
      <c r="L127" s="4"/>
      <c r="M127" s="4"/>
    </row>
    <row r="128" spans="1:28" x14ac:dyDescent="0.25">
      <c r="B128" s="4"/>
      <c r="C128" s="4"/>
      <c r="D128" s="4"/>
      <c r="E128" s="4"/>
      <c r="F128" s="4"/>
      <c r="G128" s="4"/>
      <c r="H128" s="4"/>
      <c r="I128" s="4"/>
      <c r="J128" s="4"/>
      <c r="K128" s="4"/>
      <c r="L128" s="4"/>
      <c r="M128" s="4"/>
    </row>
    <row r="129" spans="2:13" x14ac:dyDescent="0.25">
      <c r="B129" s="4"/>
      <c r="C129" s="4"/>
      <c r="D129" s="4"/>
      <c r="E129" s="4"/>
      <c r="F129" s="4"/>
      <c r="G129" s="4"/>
      <c r="H129" s="4"/>
      <c r="I129" s="4"/>
      <c r="J129" s="4"/>
      <c r="K129" s="4"/>
      <c r="L129" s="4"/>
      <c r="M129" s="4"/>
    </row>
    <row r="130" spans="2:13" x14ac:dyDescent="0.25">
      <c r="B130" s="4"/>
      <c r="C130" s="4"/>
      <c r="D130" s="4"/>
      <c r="E130" s="4"/>
      <c r="F130" s="4"/>
      <c r="G130" s="4"/>
      <c r="H130" s="4"/>
      <c r="I130" s="4"/>
      <c r="J130" s="4"/>
      <c r="K130" s="4"/>
      <c r="L130" s="4"/>
      <c r="M130" s="4"/>
    </row>
    <row r="131" spans="2:13" x14ac:dyDescent="0.25">
      <c r="B131" s="4"/>
      <c r="C131" s="4"/>
      <c r="D131" s="4"/>
      <c r="E131" s="4"/>
      <c r="F131" s="4"/>
      <c r="G131" s="4"/>
      <c r="H131" s="4"/>
      <c r="I131" s="4"/>
      <c r="J131" s="4"/>
      <c r="K131" s="4"/>
      <c r="L131" s="4"/>
      <c r="M131" s="4"/>
    </row>
    <row r="132" spans="2:13" x14ac:dyDescent="0.25">
      <c r="B132" s="4"/>
      <c r="C132" s="4"/>
      <c r="D132" s="4"/>
      <c r="E132" s="4"/>
      <c r="F132" s="4"/>
      <c r="G132" s="4"/>
      <c r="H132" s="4"/>
      <c r="I132" s="4"/>
      <c r="J132" s="4"/>
      <c r="K132" s="4"/>
      <c r="L132" s="4"/>
      <c r="M132" s="4"/>
    </row>
    <row r="133" spans="2:13" x14ac:dyDescent="0.25">
      <c r="B133" s="4"/>
      <c r="C133" s="4"/>
      <c r="D133" s="4"/>
      <c r="E133" s="4"/>
      <c r="F133" s="4"/>
      <c r="G133" s="4"/>
      <c r="H133" s="4"/>
      <c r="I133" s="4"/>
      <c r="J133" s="4"/>
      <c r="K133" s="4"/>
      <c r="L133" s="4"/>
      <c r="M133" s="4"/>
    </row>
    <row r="134" spans="2:13" x14ac:dyDescent="0.25">
      <c r="B134" s="4"/>
      <c r="C134" s="4"/>
      <c r="D134" s="4"/>
      <c r="E134" s="4"/>
      <c r="F134" s="4"/>
      <c r="G134" s="4"/>
      <c r="H134" s="4"/>
      <c r="I134" s="4"/>
      <c r="J134" s="4"/>
      <c r="K134" s="4"/>
      <c r="L134" s="4"/>
      <c r="M134" s="4"/>
    </row>
    <row r="135" spans="2:13" x14ac:dyDescent="0.25">
      <c r="B135" s="4"/>
      <c r="C135" s="4"/>
      <c r="D135" s="4"/>
      <c r="E135" s="4"/>
      <c r="F135" s="4"/>
      <c r="G135" s="4"/>
      <c r="H135" s="4"/>
      <c r="I135" s="4"/>
      <c r="J135" s="4"/>
      <c r="K135" s="4"/>
      <c r="L135" s="4"/>
      <c r="M135" s="4"/>
    </row>
    <row r="136" spans="2:13" x14ac:dyDescent="0.25">
      <c r="B136" s="4"/>
      <c r="C136" s="4"/>
      <c r="D136" s="4"/>
      <c r="E136" s="4"/>
      <c r="F136" s="4"/>
      <c r="G136" s="4"/>
      <c r="H136" s="4"/>
      <c r="I136" s="4"/>
      <c r="J136" s="4"/>
      <c r="K136" s="4"/>
      <c r="L136" s="4"/>
      <c r="M136" s="4"/>
    </row>
    <row r="137" spans="2:13" x14ac:dyDescent="0.25">
      <c r="B137" s="4"/>
      <c r="C137" s="4"/>
      <c r="D137" s="4"/>
      <c r="E137" s="4"/>
      <c r="F137" s="4"/>
      <c r="G137" s="4"/>
      <c r="H137" s="4"/>
      <c r="I137" s="4"/>
      <c r="J137" s="4"/>
      <c r="K137" s="4"/>
      <c r="L137" s="4"/>
      <c r="M137" s="4"/>
    </row>
    <row r="138" spans="2:13" x14ac:dyDescent="0.25">
      <c r="B138" s="4"/>
      <c r="C138" s="4"/>
      <c r="D138" s="4"/>
      <c r="E138" s="4"/>
      <c r="F138" s="4"/>
      <c r="G138" s="4"/>
      <c r="H138" s="4"/>
      <c r="I138" s="4"/>
      <c r="J138" s="4"/>
      <c r="K138" s="4"/>
      <c r="L138" s="4"/>
      <c r="M138" s="4"/>
    </row>
  </sheetData>
  <mergeCells count="3">
    <mergeCell ref="Q1:AB1"/>
    <mergeCell ref="A1:P1"/>
    <mergeCell ref="Q123:AB123"/>
  </mergeCells>
  <conditionalFormatting sqref="P123">
    <cfRule type="containsText" dxfId="56" priority="7" operator="containsText" text="HATA VAR">
      <formula>NOT(ISERROR(SEARCH("HATA VAR",P123)))</formula>
    </cfRule>
    <cfRule type="containsText" dxfId="55" priority="8" operator="containsText" text="HATA YOK">
      <formula>NOT(ISERROR(SEARCH("HATA YOK",P123)))</formula>
    </cfRule>
  </conditionalFormatting>
  <conditionalFormatting sqref="P3:AB121">
    <cfRule type="cellIs" dxfId="54" priority="1" operator="lessThan">
      <formula>0</formula>
    </cfRule>
    <cfRule type="cellIs" dxfId="53" priority="2" operator="equal">
      <formula>0</formula>
    </cfRule>
    <cfRule type="cellIs" dxfId="52" priority="4" operator="greaterThan">
      <formula>0</formula>
    </cfRule>
  </conditionalFormatting>
  <pageMargins left="0.7" right="0.7" top="0.75" bottom="0.75" header="0.3" footer="0.3"/>
  <pageSetup paperSize="9" scale="42" orientation="landscape" r:id="rId1"/>
  <ignoredErrors>
    <ignoredError sqref="V122:W122 Q122 R122:S122" formulaRange="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31C55E8-E546-4EFD-AC4A-E303B39E3844}">
          <x14:formula1>
            <xm:f>DONE!$C$3:$C$112</xm:f>
          </x14:formula1>
          <xm:sqref>A3:A121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F6A7-2752-49B4-8C98-DF19B3DF1BD1}">
  <sheetPr codeName="Sayfa22">
    <tabColor rgb="FFED7D31"/>
    <pageSetUpPr fitToPage="1"/>
  </sheetPr>
  <dimension ref="A1:AD138"/>
  <sheetViews>
    <sheetView zoomScale="90" zoomScaleNormal="90" zoomScaleSheetLayoutView="80" workbookViewId="0">
      <pane ySplit="2" topLeftCell="A3" activePane="bottomLeft" state="frozen"/>
      <selection pane="bottomLeft" activeCell="Q3" sqref="Q3:R3"/>
    </sheetView>
  </sheetViews>
  <sheetFormatPr defaultRowHeight="15" x14ac:dyDescent="0.25"/>
  <cols>
    <col min="1" max="1" width="27.5703125" style="3" customWidth="1"/>
    <col min="2" max="4" width="18.7109375" style="3" customWidth="1"/>
    <col min="5" max="12" width="18.7109375" style="3" hidden="1" customWidth="1"/>
    <col min="13" max="13" width="20.85546875" style="3" hidden="1" customWidth="1"/>
    <col min="14" max="14" width="22.42578125" style="3" bestFit="1" customWidth="1"/>
    <col min="15" max="15" width="23.28515625" style="3" bestFit="1" customWidth="1"/>
    <col min="16" max="16" width="27.140625" style="3" customWidth="1"/>
    <col min="17" max="19" width="15.7109375" style="3" customWidth="1"/>
    <col min="20" max="28" width="15.7109375" style="3" hidden="1" customWidth="1"/>
    <col min="29" max="29" width="30.140625" style="3" bestFit="1" customWidth="1"/>
    <col min="30" max="30" width="13.28515625" style="3" bestFit="1" customWidth="1"/>
    <col min="31" max="16384" width="9.140625" style="3"/>
  </cols>
  <sheetData>
    <row r="1" spans="1:30" ht="56.25" customHeight="1" x14ac:dyDescent="0.25">
      <c r="A1" s="101" t="s">
        <v>252</v>
      </c>
      <c r="B1" s="102"/>
      <c r="C1" s="102"/>
      <c r="D1" s="102"/>
      <c r="E1" s="102"/>
      <c r="F1" s="102"/>
      <c r="G1" s="102"/>
      <c r="H1" s="102"/>
      <c r="I1" s="102"/>
      <c r="J1" s="102"/>
      <c r="K1" s="102"/>
      <c r="L1" s="102"/>
      <c r="M1" s="102"/>
      <c r="N1" s="102"/>
      <c r="O1" s="102"/>
      <c r="P1" s="102"/>
      <c r="Q1" s="98" t="s">
        <v>68</v>
      </c>
      <c r="R1" s="99"/>
      <c r="S1" s="99"/>
      <c r="T1" s="99"/>
      <c r="U1" s="99"/>
      <c r="V1" s="99"/>
      <c r="W1" s="99"/>
      <c r="X1" s="99"/>
      <c r="Y1" s="99"/>
      <c r="Z1" s="99"/>
      <c r="AA1" s="99"/>
      <c r="AB1" s="100"/>
    </row>
    <row r="2" spans="1:30" ht="20.100000000000001" customHeight="1" x14ac:dyDescent="0.25">
      <c r="A2" s="15" t="s">
        <v>30</v>
      </c>
      <c r="B2" s="16">
        <v>46023</v>
      </c>
      <c r="C2" s="16">
        <v>46054</v>
      </c>
      <c r="D2" s="16">
        <v>46082</v>
      </c>
      <c r="E2" s="16">
        <v>46113</v>
      </c>
      <c r="F2" s="16">
        <v>46143</v>
      </c>
      <c r="G2" s="16">
        <v>46174</v>
      </c>
      <c r="H2" s="16">
        <v>46204</v>
      </c>
      <c r="I2" s="16">
        <v>46235</v>
      </c>
      <c r="J2" s="16">
        <v>46266</v>
      </c>
      <c r="K2" s="16">
        <v>46296</v>
      </c>
      <c r="L2" s="16">
        <v>46327</v>
      </c>
      <c r="M2" s="16">
        <v>46357</v>
      </c>
      <c r="N2" s="15" t="s">
        <v>65</v>
      </c>
      <c r="O2" s="15" t="s">
        <v>66</v>
      </c>
      <c r="P2" s="14" t="s">
        <v>67</v>
      </c>
      <c r="Q2" s="9">
        <v>45292</v>
      </c>
      <c r="R2" s="10">
        <v>45323</v>
      </c>
      <c r="S2" s="10">
        <v>45352</v>
      </c>
      <c r="T2" s="10">
        <v>45748</v>
      </c>
      <c r="U2" s="10">
        <v>45778</v>
      </c>
      <c r="V2" s="10">
        <v>45809</v>
      </c>
      <c r="W2" s="10">
        <v>45839</v>
      </c>
      <c r="X2" s="10">
        <v>45870</v>
      </c>
      <c r="Y2" s="10">
        <v>45901</v>
      </c>
      <c r="Z2" s="10">
        <v>45931</v>
      </c>
      <c r="AA2" s="10">
        <v>45962</v>
      </c>
      <c r="AB2" s="10">
        <v>45992</v>
      </c>
    </row>
    <row r="3" spans="1:30" ht="20.100000000000001" customHeight="1" x14ac:dyDescent="0.25">
      <c r="A3" s="17" t="s">
        <v>0</v>
      </c>
      <c r="B3" s="7">
        <f>+SUMIFS(Tablo17106121316182022242[SATIŞ TUTARI],Tablo17106121316182022242[TARİH],"&gt;=01/01/2026",Tablo17106121316182022242[TARİH],"&lt;=31/01/2026",Tablo17106121316182022242[MÜŞTERİ ADI],'GİDER İCMAL'!A3)</f>
        <v>0</v>
      </c>
      <c r="C3" s="7">
        <f>+SUMIFS(Tablo17106121316182022242[SATIŞ TUTARI],Tablo17106121316182022242[TARİH],"&gt;=01/02/2026",Tablo17106121316182022242[TARİH],"&lt;=28/02/2026",Tablo17106121316182022242[MÜŞTERİ ADI],'GİDER İCMAL'!A3)</f>
        <v>0</v>
      </c>
      <c r="D3" s="7"/>
      <c r="E3" s="7"/>
      <c r="F3" s="7"/>
      <c r="G3" s="7"/>
      <c r="H3" s="7"/>
      <c r="I3" s="7"/>
      <c r="J3" s="7"/>
      <c r="K3" s="7"/>
      <c r="L3" s="7"/>
      <c r="M3" s="7"/>
      <c r="N3" s="7">
        <f t="shared" ref="N3:N66" si="0">+SUM(B3:M3)</f>
        <v>0</v>
      </c>
      <c r="O3" s="7"/>
      <c r="P3" s="32">
        <f>+N3-O3</f>
        <v>0</v>
      </c>
      <c r="Q3" s="11"/>
      <c r="R3" s="12"/>
      <c r="S3" s="12"/>
      <c r="T3" s="12"/>
      <c r="U3" s="12"/>
      <c r="V3" s="12"/>
      <c r="W3" s="12"/>
      <c r="X3" s="12"/>
      <c r="Y3" s="12"/>
      <c r="Z3" s="12"/>
      <c r="AA3" s="12"/>
      <c r="AB3" s="12"/>
    </row>
    <row r="4" spans="1:30" ht="20.100000000000001" customHeight="1" x14ac:dyDescent="0.25">
      <c r="A4" s="17"/>
      <c r="B4" s="7">
        <f>+SUMIFS(Tablo17106121316182022242[SATIŞ TUTARI],Tablo17106121316182022242[TARİH],"&gt;=01/01/2026",Tablo17106121316182022242[TARİH],"&lt;=31/01/2026",Tablo17106121316182022242[MÜŞTERİ ADI],'GİDER İCMAL'!A4)</f>
        <v>0</v>
      </c>
      <c r="C4" s="7">
        <f>+SUMIFS(Tablo17106121316182022242[SATIŞ TUTARI],Tablo17106121316182022242[TARİH],"&gt;=01/02/2026",Tablo17106121316182022242[TARİH],"&lt;=28/02/2026",Tablo17106121316182022242[MÜŞTERİ ADI],'GİDER İCMAL'!A4)</f>
        <v>0</v>
      </c>
      <c r="D4" s="7"/>
      <c r="E4" s="7"/>
      <c r="F4" s="7"/>
      <c r="G4" s="7"/>
      <c r="H4" s="7"/>
      <c r="I4" s="7"/>
      <c r="J4" s="7"/>
      <c r="K4" s="7"/>
      <c r="L4" s="7"/>
      <c r="M4" s="7"/>
      <c r="N4" s="7">
        <f t="shared" si="0"/>
        <v>0</v>
      </c>
      <c r="O4" s="7"/>
      <c r="P4" s="32">
        <f t="shared" ref="P4:P67" si="1">+N4-O4</f>
        <v>0</v>
      </c>
      <c r="Q4" s="11"/>
      <c r="R4" s="12"/>
      <c r="S4" s="12"/>
      <c r="T4" s="12"/>
      <c r="U4" s="12"/>
      <c r="V4" s="12"/>
      <c r="W4" s="12"/>
      <c r="X4" s="12"/>
      <c r="Y4" s="12"/>
      <c r="Z4" s="12"/>
      <c r="AA4" s="12"/>
      <c r="AB4" s="12"/>
    </row>
    <row r="5" spans="1:30" ht="20.100000000000001" customHeight="1" x14ac:dyDescent="0.25">
      <c r="A5" s="17"/>
      <c r="B5" s="7">
        <f>+SUMIFS(Tablo17106121316182022242[SATIŞ TUTARI],Tablo17106121316182022242[TARİH],"&gt;=01/01/2026",Tablo17106121316182022242[TARİH],"&lt;=31/01/2026",Tablo17106121316182022242[MÜŞTERİ ADI],'GİDER İCMAL'!A5)</f>
        <v>0</v>
      </c>
      <c r="C5" s="7">
        <f>+SUMIFS(Tablo17106121316182022242[SATIŞ TUTARI],Tablo17106121316182022242[TARİH],"&gt;=01/02/2026",Tablo17106121316182022242[TARİH],"&lt;=28/02/2026",Tablo17106121316182022242[MÜŞTERİ ADI],'GİDER İCMAL'!A5)</f>
        <v>0</v>
      </c>
      <c r="D5" s="7"/>
      <c r="E5" s="7"/>
      <c r="F5" s="7"/>
      <c r="G5" s="7"/>
      <c r="H5" s="7"/>
      <c r="I5" s="7"/>
      <c r="J5" s="7"/>
      <c r="K5" s="7"/>
      <c r="L5" s="7"/>
      <c r="M5" s="7"/>
      <c r="N5" s="7">
        <f t="shared" si="0"/>
        <v>0</v>
      </c>
      <c r="O5" s="7"/>
      <c r="P5" s="32">
        <f t="shared" si="1"/>
        <v>0</v>
      </c>
      <c r="Q5" s="11"/>
      <c r="R5" s="12"/>
      <c r="S5" s="12"/>
      <c r="T5" s="12"/>
      <c r="U5" s="12"/>
      <c r="V5" s="12"/>
      <c r="W5" s="12"/>
      <c r="X5" s="12"/>
      <c r="Y5" s="12"/>
      <c r="Z5" s="12"/>
      <c r="AA5" s="12"/>
      <c r="AB5" s="12"/>
      <c r="AD5" s="43"/>
    </row>
    <row r="6" spans="1:30" ht="20.100000000000001" customHeight="1" x14ac:dyDescent="0.25">
      <c r="A6" s="17"/>
      <c r="B6" s="7">
        <f>+SUMIFS(Tablo17106121316182022242[SATIŞ TUTARI],Tablo17106121316182022242[TARİH],"&gt;=01/01/2026",Tablo17106121316182022242[TARİH],"&lt;=31/01/2026",Tablo17106121316182022242[MÜŞTERİ ADI],'GİDER İCMAL'!A6)</f>
        <v>0</v>
      </c>
      <c r="C6" s="7">
        <f>+SUMIFS(Tablo17106121316182022242[SATIŞ TUTARI],Tablo17106121316182022242[TARİH],"&gt;=01/02/2026",Tablo17106121316182022242[TARİH],"&lt;=28/02/2026",Tablo17106121316182022242[MÜŞTERİ ADI],'GİDER İCMAL'!A6)</f>
        <v>0</v>
      </c>
      <c r="D6" s="7"/>
      <c r="E6" s="7"/>
      <c r="F6" s="7"/>
      <c r="G6" s="7"/>
      <c r="H6" s="7"/>
      <c r="I6" s="7"/>
      <c r="J6" s="7"/>
      <c r="K6" s="7"/>
      <c r="L6" s="7"/>
      <c r="M6" s="7"/>
      <c r="N6" s="7">
        <f t="shared" si="0"/>
        <v>0</v>
      </c>
      <c r="O6" s="7"/>
      <c r="P6" s="32">
        <f t="shared" si="1"/>
        <v>0</v>
      </c>
      <c r="Q6" s="11"/>
      <c r="R6" s="12"/>
      <c r="S6" s="12"/>
      <c r="T6" s="12"/>
      <c r="U6" s="12"/>
      <c r="V6" s="12"/>
      <c r="W6" s="12"/>
      <c r="X6" s="12"/>
      <c r="Y6" s="12"/>
      <c r="Z6" s="12"/>
      <c r="AA6" s="12"/>
      <c r="AB6" s="12"/>
    </row>
    <row r="7" spans="1:30" ht="20.100000000000001" customHeight="1" x14ac:dyDescent="0.25">
      <c r="A7" s="17"/>
      <c r="B7" s="7">
        <f>+SUMIFS(Tablo17106121316182022242[SATIŞ TUTARI],Tablo17106121316182022242[TARİH],"&gt;=01/01/2026",Tablo17106121316182022242[TARİH],"&lt;=31/01/2026",Tablo17106121316182022242[MÜŞTERİ ADI],'GİDER İCMAL'!A7)</f>
        <v>0</v>
      </c>
      <c r="C7" s="7">
        <f>+SUMIFS(Tablo17106121316182022242[SATIŞ TUTARI],Tablo17106121316182022242[TARİH],"&gt;=01/02/2026",Tablo17106121316182022242[TARİH],"&lt;=28/02/2026",Tablo17106121316182022242[MÜŞTERİ ADI],'GİDER İCMAL'!A7)</f>
        <v>0</v>
      </c>
      <c r="D7" s="7"/>
      <c r="E7" s="7"/>
      <c r="F7" s="7"/>
      <c r="G7" s="7"/>
      <c r="H7" s="7"/>
      <c r="I7" s="7"/>
      <c r="J7" s="7"/>
      <c r="K7" s="7"/>
      <c r="L7" s="7"/>
      <c r="M7" s="7"/>
      <c r="N7" s="7">
        <f t="shared" si="0"/>
        <v>0</v>
      </c>
      <c r="O7" s="7"/>
      <c r="P7" s="32">
        <f t="shared" si="1"/>
        <v>0</v>
      </c>
      <c r="Q7" s="11"/>
      <c r="R7" s="12"/>
      <c r="S7" s="12"/>
      <c r="T7" s="12"/>
      <c r="U7" s="12"/>
      <c r="V7" s="12"/>
      <c r="W7" s="12"/>
      <c r="X7" s="12"/>
      <c r="Y7" s="12"/>
      <c r="Z7" s="12"/>
      <c r="AA7" s="12"/>
      <c r="AB7" s="12"/>
    </row>
    <row r="8" spans="1:30" ht="20.100000000000001" customHeight="1" x14ac:dyDescent="0.25">
      <c r="A8" s="17"/>
      <c r="B8" s="7">
        <f>+SUMIFS(Tablo17106121316182022242[SATIŞ TUTARI],Tablo17106121316182022242[TARİH],"&gt;=01/01/2026",Tablo17106121316182022242[TARİH],"&lt;=31/01/2026",Tablo17106121316182022242[MÜŞTERİ ADI],'GİDER İCMAL'!A8)</f>
        <v>0</v>
      </c>
      <c r="C8" s="7">
        <f>+SUMIFS(Tablo17106121316182022242[SATIŞ TUTARI],Tablo17106121316182022242[TARİH],"&gt;=01/02/2026",Tablo17106121316182022242[TARİH],"&lt;=28/02/2026",Tablo17106121316182022242[MÜŞTERİ ADI],'GİDER İCMAL'!A8)</f>
        <v>0</v>
      </c>
      <c r="D8" s="7"/>
      <c r="E8" s="7"/>
      <c r="F8" s="7"/>
      <c r="G8" s="7"/>
      <c r="H8" s="7"/>
      <c r="I8" s="7"/>
      <c r="J8" s="7"/>
      <c r="K8" s="7"/>
      <c r="L8" s="7"/>
      <c r="M8" s="7"/>
      <c r="N8" s="7">
        <f t="shared" si="0"/>
        <v>0</v>
      </c>
      <c r="O8" s="7"/>
      <c r="P8" s="32">
        <f t="shared" si="1"/>
        <v>0</v>
      </c>
      <c r="Q8" s="11"/>
      <c r="R8" s="12"/>
      <c r="S8" s="12"/>
      <c r="T8" s="12"/>
      <c r="U8" s="12"/>
      <c r="V8" s="12"/>
      <c r="W8" s="12"/>
      <c r="X8" s="12"/>
      <c r="Y8" s="12"/>
      <c r="Z8" s="12"/>
      <c r="AA8" s="12"/>
      <c r="AB8" s="12"/>
    </row>
    <row r="9" spans="1:30" ht="20.100000000000001" customHeight="1" x14ac:dyDescent="0.25">
      <c r="A9" s="17"/>
      <c r="B9" s="7">
        <f>+SUMIFS(Tablo17106121316182022242[SATIŞ TUTARI],Tablo17106121316182022242[TARİH],"&gt;=01/01/2026",Tablo17106121316182022242[TARİH],"&lt;=31/01/2026",Tablo17106121316182022242[MÜŞTERİ ADI],'GİDER İCMAL'!A9)</f>
        <v>0</v>
      </c>
      <c r="C9" s="7">
        <f>+SUMIFS(Tablo17106121316182022242[SATIŞ TUTARI],Tablo17106121316182022242[TARİH],"&gt;=01/02/2026",Tablo17106121316182022242[TARİH],"&lt;=28/02/2026",Tablo17106121316182022242[MÜŞTERİ ADI],'GİDER İCMAL'!A9)</f>
        <v>0</v>
      </c>
      <c r="D9" s="7"/>
      <c r="E9" s="7"/>
      <c r="F9" s="7"/>
      <c r="G9" s="7"/>
      <c r="H9" s="7"/>
      <c r="I9" s="7"/>
      <c r="J9" s="7"/>
      <c r="K9" s="7"/>
      <c r="L9" s="7"/>
      <c r="M9" s="7"/>
      <c r="N9" s="7">
        <f t="shared" si="0"/>
        <v>0</v>
      </c>
      <c r="O9" s="7"/>
      <c r="P9" s="32">
        <f t="shared" si="1"/>
        <v>0</v>
      </c>
      <c r="Q9" s="11"/>
      <c r="R9" s="12"/>
      <c r="S9" s="12"/>
      <c r="T9" s="12"/>
      <c r="U9" s="12"/>
      <c r="V9" s="12"/>
      <c r="W9" s="12"/>
      <c r="X9" s="12"/>
      <c r="Y9" s="12"/>
      <c r="Z9" s="12"/>
      <c r="AA9" s="12"/>
      <c r="AB9" s="12"/>
    </row>
    <row r="10" spans="1:30" ht="20.100000000000001" customHeight="1" x14ac:dyDescent="0.25">
      <c r="A10" s="17"/>
      <c r="B10" s="7">
        <f>+SUMIFS(Tablo17106121316182022242[SATIŞ TUTARI],Tablo17106121316182022242[TARİH],"&gt;=01/01/2026",Tablo17106121316182022242[TARİH],"&lt;=31/01/2026",Tablo17106121316182022242[MÜŞTERİ ADI],'GİDER İCMAL'!A10)</f>
        <v>0</v>
      </c>
      <c r="C10" s="7">
        <f>+SUMIFS(Tablo17106121316182022242[SATIŞ TUTARI],Tablo17106121316182022242[TARİH],"&gt;=01/02/2026",Tablo17106121316182022242[TARİH],"&lt;=28/02/2026",Tablo17106121316182022242[MÜŞTERİ ADI],'GİDER İCMAL'!A10)</f>
        <v>0</v>
      </c>
      <c r="D10" s="7"/>
      <c r="E10" s="7"/>
      <c r="F10" s="7"/>
      <c r="G10" s="7"/>
      <c r="H10" s="7"/>
      <c r="I10" s="7"/>
      <c r="J10" s="7"/>
      <c r="K10" s="7"/>
      <c r="L10" s="7"/>
      <c r="M10" s="7"/>
      <c r="N10" s="7">
        <f t="shared" si="0"/>
        <v>0</v>
      </c>
      <c r="O10" s="7"/>
      <c r="P10" s="32">
        <f t="shared" si="1"/>
        <v>0</v>
      </c>
      <c r="Q10" s="11"/>
      <c r="R10" s="12"/>
      <c r="S10" s="12"/>
      <c r="T10" s="12"/>
      <c r="U10" s="12"/>
      <c r="V10" s="12"/>
      <c r="W10" s="12"/>
      <c r="X10" s="12"/>
      <c r="Y10" s="12"/>
      <c r="Z10" s="12"/>
      <c r="AA10" s="12"/>
      <c r="AB10" s="12"/>
    </row>
    <row r="11" spans="1:30" ht="20.100000000000001" customHeight="1" x14ac:dyDescent="0.25">
      <c r="A11" s="17"/>
      <c r="B11" s="7">
        <f>+SUMIFS(Tablo17106121316182022242[SATIŞ TUTARI],Tablo17106121316182022242[TARİH],"&gt;=01/01/2026",Tablo17106121316182022242[TARİH],"&lt;=31/01/2026",Tablo17106121316182022242[MÜŞTERİ ADI],'GİDER İCMAL'!A11)</f>
        <v>0</v>
      </c>
      <c r="C11" s="7">
        <f>+SUMIFS(Tablo17106121316182022242[SATIŞ TUTARI],Tablo17106121316182022242[TARİH],"&gt;=01/02/2026",Tablo17106121316182022242[TARİH],"&lt;=28/02/2026",Tablo17106121316182022242[MÜŞTERİ ADI],'GİDER İCMAL'!A11)</f>
        <v>0</v>
      </c>
      <c r="D11" s="7"/>
      <c r="E11" s="7"/>
      <c r="F11" s="7"/>
      <c r="G11" s="7"/>
      <c r="H11" s="7"/>
      <c r="I11" s="7"/>
      <c r="J11" s="7"/>
      <c r="K11" s="7"/>
      <c r="L11" s="7"/>
      <c r="M11" s="7"/>
      <c r="N11" s="7">
        <f t="shared" si="0"/>
        <v>0</v>
      </c>
      <c r="O11" s="7"/>
      <c r="P11" s="32">
        <f t="shared" si="1"/>
        <v>0</v>
      </c>
      <c r="Q11" s="11"/>
      <c r="R11" s="12"/>
      <c r="S11" s="12"/>
      <c r="T11" s="12"/>
      <c r="U11" s="12"/>
      <c r="V11" s="12"/>
      <c r="W11" s="12"/>
      <c r="X11" s="12"/>
      <c r="Y11" s="12"/>
      <c r="Z11" s="12"/>
      <c r="AA11" s="12"/>
      <c r="AB11" s="12"/>
    </row>
    <row r="12" spans="1:30" ht="20.100000000000001" customHeight="1" x14ac:dyDescent="0.25">
      <c r="A12" s="17"/>
      <c r="B12" s="7">
        <f>+SUMIFS(Tablo17106121316182022242[SATIŞ TUTARI],Tablo17106121316182022242[TARİH],"&gt;=01/01/2026",Tablo17106121316182022242[TARİH],"&lt;=31/01/2026",Tablo17106121316182022242[MÜŞTERİ ADI],'GİDER İCMAL'!A12)</f>
        <v>0</v>
      </c>
      <c r="C12" s="7">
        <f>+SUMIFS(Tablo17106121316182022242[SATIŞ TUTARI],Tablo17106121316182022242[TARİH],"&gt;=01/02/2026",Tablo17106121316182022242[TARİH],"&lt;=28/02/2026",Tablo17106121316182022242[MÜŞTERİ ADI],'GİDER İCMAL'!A12)</f>
        <v>0</v>
      </c>
      <c r="D12" s="7"/>
      <c r="E12" s="7"/>
      <c r="F12" s="7"/>
      <c r="G12" s="7"/>
      <c r="H12" s="7"/>
      <c r="I12" s="7"/>
      <c r="J12" s="7"/>
      <c r="K12" s="7"/>
      <c r="L12" s="7"/>
      <c r="M12" s="7"/>
      <c r="N12" s="7">
        <f t="shared" si="0"/>
        <v>0</v>
      </c>
      <c r="O12" s="7"/>
      <c r="P12" s="32">
        <f t="shared" si="1"/>
        <v>0</v>
      </c>
      <c r="Q12" s="11"/>
      <c r="R12" s="12"/>
      <c r="S12" s="12"/>
      <c r="T12" s="12"/>
      <c r="U12" s="12"/>
      <c r="V12" s="12"/>
      <c r="W12" s="12"/>
      <c r="X12" s="12"/>
      <c r="Y12" s="12"/>
      <c r="Z12" s="12"/>
      <c r="AA12" s="12"/>
      <c r="AB12" s="12"/>
    </row>
    <row r="13" spans="1:30" ht="20.100000000000001" customHeight="1" x14ac:dyDescent="0.25">
      <c r="A13" s="17"/>
      <c r="B13" s="7">
        <f>+SUMIFS(Tablo17106121316182022242[SATIŞ TUTARI],Tablo17106121316182022242[TARİH],"&gt;=01/01/2026",Tablo17106121316182022242[TARİH],"&lt;=31/01/2026",Tablo17106121316182022242[MÜŞTERİ ADI],'GİDER İCMAL'!A13)</f>
        <v>0</v>
      </c>
      <c r="C13" s="7">
        <f>+SUMIFS(Tablo17106121316182022242[SATIŞ TUTARI],Tablo17106121316182022242[TARİH],"&gt;=01/02/2026",Tablo17106121316182022242[TARİH],"&lt;=28/02/2026",Tablo17106121316182022242[MÜŞTERİ ADI],'GİDER İCMAL'!A13)</f>
        <v>0</v>
      </c>
      <c r="D13" s="7"/>
      <c r="E13" s="7"/>
      <c r="F13" s="7"/>
      <c r="G13" s="7"/>
      <c r="H13" s="7"/>
      <c r="I13" s="7"/>
      <c r="J13" s="7"/>
      <c r="K13" s="7"/>
      <c r="L13" s="7"/>
      <c r="M13" s="7"/>
      <c r="N13" s="7">
        <f t="shared" si="0"/>
        <v>0</v>
      </c>
      <c r="O13" s="7"/>
      <c r="P13" s="32">
        <f t="shared" si="1"/>
        <v>0</v>
      </c>
      <c r="Q13" s="11"/>
      <c r="R13" s="12"/>
      <c r="S13" s="12"/>
      <c r="T13" s="12"/>
      <c r="U13" s="12"/>
      <c r="V13" s="12"/>
      <c r="W13" s="12"/>
      <c r="X13" s="12"/>
      <c r="Y13" s="12"/>
      <c r="Z13" s="12"/>
      <c r="AA13" s="12"/>
      <c r="AB13" s="12"/>
    </row>
    <row r="14" spans="1:30" ht="20.100000000000001" customHeight="1" x14ac:dyDescent="0.25">
      <c r="A14" s="17"/>
      <c r="B14" s="7">
        <f>+SUMIFS(Tablo17106121316182022242[SATIŞ TUTARI],Tablo17106121316182022242[TARİH],"&gt;=01/01/2026",Tablo17106121316182022242[TARİH],"&lt;=31/01/2026",Tablo17106121316182022242[MÜŞTERİ ADI],'GİDER İCMAL'!A14)</f>
        <v>0</v>
      </c>
      <c r="C14" s="7">
        <f>+SUMIFS(Tablo17106121316182022242[SATIŞ TUTARI],Tablo17106121316182022242[TARİH],"&gt;=01/02/2026",Tablo17106121316182022242[TARİH],"&lt;=28/02/2026",Tablo17106121316182022242[MÜŞTERİ ADI],'GİDER İCMAL'!A14)</f>
        <v>0</v>
      </c>
      <c r="D14" s="7"/>
      <c r="E14" s="7"/>
      <c r="F14" s="7"/>
      <c r="G14" s="7"/>
      <c r="H14" s="7"/>
      <c r="I14" s="7"/>
      <c r="J14" s="7"/>
      <c r="K14" s="7"/>
      <c r="L14" s="7"/>
      <c r="M14" s="7"/>
      <c r="N14" s="7">
        <f t="shared" si="0"/>
        <v>0</v>
      </c>
      <c r="O14" s="7"/>
      <c r="P14" s="32">
        <f t="shared" si="1"/>
        <v>0</v>
      </c>
      <c r="Q14" s="11"/>
      <c r="R14" s="12"/>
      <c r="S14" s="12"/>
      <c r="T14" s="12"/>
      <c r="U14" s="12"/>
      <c r="V14" s="12"/>
      <c r="W14" s="12"/>
      <c r="X14" s="12"/>
      <c r="Y14" s="12"/>
      <c r="Z14" s="12"/>
      <c r="AA14" s="12"/>
      <c r="AB14" s="12"/>
    </row>
    <row r="15" spans="1:30" ht="20.100000000000001" customHeight="1" x14ac:dyDescent="0.25">
      <c r="A15" s="17"/>
      <c r="B15" s="7">
        <f>+SUMIFS(Tablo17106121316182022242[SATIŞ TUTARI],Tablo17106121316182022242[TARİH],"&gt;=01/01/2026",Tablo17106121316182022242[TARİH],"&lt;=31/01/2026",Tablo17106121316182022242[MÜŞTERİ ADI],'GİDER İCMAL'!A15)</f>
        <v>0</v>
      </c>
      <c r="C15" s="7">
        <f>+SUMIFS(Tablo17106121316182022242[SATIŞ TUTARI],Tablo17106121316182022242[TARİH],"&gt;=01/02/2026",Tablo17106121316182022242[TARİH],"&lt;=28/02/2026",Tablo17106121316182022242[MÜŞTERİ ADI],'GİDER İCMAL'!A15)</f>
        <v>0</v>
      </c>
      <c r="D15" s="7"/>
      <c r="E15" s="7"/>
      <c r="F15" s="7"/>
      <c r="G15" s="7"/>
      <c r="H15" s="7"/>
      <c r="I15" s="7"/>
      <c r="J15" s="7"/>
      <c r="K15" s="7"/>
      <c r="L15" s="7"/>
      <c r="M15" s="7"/>
      <c r="N15" s="7">
        <f t="shared" si="0"/>
        <v>0</v>
      </c>
      <c r="O15" s="7"/>
      <c r="P15" s="32">
        <f t="shared" si="1"/>
        <v>0</v>
      </c>
      <c r="Q15" s="11"/>
      <c r="R15" s="12"/>
      <c r="S15" s="12"/>
      <c r="T15" s="12"/>
      <c r="U15" s="12"/>
      <c r="V15" s="12"/>
      <c r="W15" s="12"/>
      <c r="X15" s="12"/>
      <c r="Y15" s="12"/>
      <c r="Z15" s="12"/>
      <c r="AA15" s="12"/>
      <c r="AB15" s="12"/>
    </row>
    <row r="16" spans="1:30" ht="20.100000000000001" customHeight="1" x14ac:dyDescent="0.25">
      <c r="A16" s="17"/>
      <c r="B16" s="7">
        <f>+SUMIFS(Tablo17106121316182022242[SATIŞ TUTARI],Tablo17106121316182022242[TARİH],"&gt;=01/01/2026",Tablo17106121316182022242[TARİH],"&lt;=31/01/2026",Tablo17106121316182022242[MÜŞTERİ ADI],'GİDER İCMAL'!A16)</f>
        <v>0</v>
      </c>
      <c r="C16" s="7">
        <f>+SUMIFS(Tablo17106121316182022242[SATIŞ TUTARI],Tablo17106121316182022242[TARİH],"&gt;=01/02/2026",Tablo17106121316182022242[TARİH],"&lt;=28/02/2026",Tablo17106121316182022242[MÜŞTERİ ADI],'GİDER İCMAL'!A16)</f>
        <v>0</v>
      </c>
      <c r="D16" s="7"/>
      <c r="E16" s="7"/>
      <c r="F16" s="7"/>
      <c r="G16" s="7"/>
      <c r="H16" s="7"/>
      <c r="I16" s="7"/>
      <c r="J16" s="7"/>
      <c r="K16" s="7"/>
      <c r="L16" s="7"/>
      <c r="M16" s="7"/>
      <c r="N16" s="7">
        <f t="shared" si="0"/>
        <v>0</v>
      </c>
      <c r="O16" s="7"/>
      <c r="P16" s="32">
        <f t="shared" si="1"/>
        <v>0</v>
      </c>
      <c r="Q16" s="11"/>
      <c r="R16" s="12"/>
      <c r="S16" s="12"/>
      <c r="T16" s="12"/>
      <c r="U16" s="12"/>
      <c r="V16" s="12"/>
      <c r="W16" s="12"/>
      <c r="X16" s="12"/>
      <c r="Y16" s="12"/>
      <c r="Z16" s="12"/>
      <c r="AA16" s="12"/>
      <c r="AB16" s="12"/>
    </row>
    <row r="17" spans="1:28" ht="20.100000000000001" customHeight="1" x14ac:dyDescent="0.25">
      <c r="A17" s="17"/>
      <c r="B17" s="7">
        <f>+SUMIFS(Tablo17106121316182022242[SATIŞ TUTARI],Tablo17106121316182022242[TARİH],"&gt;=01/01/2026",Tablo17106121316182022242[TARİH],"&lt;=31/01/2026",Tablo17106121316182022242[MÜŞTERİ ADI],'GİDER İCMAL'!A17)</f>
        <v>0</v>
      </c>
      <c r="C17" s="7">
        <f>+SUMIFS(Tablo17106121316182022242[SATIŞ TUTARI],Tablo17106121316182022242[TARİH],"&gt;=01/02/2026",Tablo17106121316182022242[TARİH],"&lt;=28/02/2026",Tablo17106121316182022242[MÜŞTERİ ADI],'GİDER İCMAL'!A17)</f>
        <v>0</v>
      </c>
      <c r="D17" s="7"/>
      <c r="E17" s="7"/>
      <c r="F17" s="7"/>
      <c r="G17" s="7"/>
      <c r="H17" s="7"/>
      <c r="I17" s="7"/>
      <c r="J17" s="7"/>
      <c r="K17" s="7"/>
      <c r="L17" s="7"/>
      <c r="M17" s="7"/>
      <c r="N17" s="7">
        <f t="shared" si="0"/>
        <v>0</v>
      </c>
      <c r="O17" s="7"/>
      <c r="P17" s="32">
        <f t="shared" si="1"/>
        <v>0</v>
      </c>
      <c r="Q17" s="11"/>
      <c r="R17" s="12"/>
      <c r="S17" s="12"/>
      <c r="T17" s="12"/>
      <c r="U17" s="12"/>
      <c r="V17" s="12"/>
      <c r="W17" s="12"/>
      <c r="X17" s="12"/>
      <c r="Y17" s="12"/>
      <c r="Z17" s="12"/>
      <c r="AA17" s="12"/>
      <c r="AB17" s="12"/>
    </row>
    <row r="18" spans="1:28" ht="20.100000000000001" customHeight="1" x14ac:dyDescent="0.25">
      <c r="A18" s="17"/>
      <c r="B18" s="7">
        <f>+SUMIFS(Tablo17106121316182022242[SATIŞ TUTARI],Tablo17106121316182022242[TARİH],"&gt;=01/01/2026",Tablo17106121316182022242[TARİH],"&lt;=31/01/2026",Tablo17106121316182022242[MÜŞTERİ ADI],'GİDER İCMAL'!A18)</f>
        <v>0</v>
      </c>
      <c r="C18" s="7">
        <f>+SUMIFS(Tablo17106121316182022242[SATIŞ TUTARI],Tablo17106121316182022242[TARİH],"&gt;=01/02/2026",Tablo17106121316182022242[TARİH],"&lt;=28/02/2026",Tablo17106121316182022242[MÜŞTERİ ADI],'GİDER İCMAL'!A18)</f>
        <v>0</v>
      </c>
      <c r="D18" s="7"/>
      <c r="E18" s="7"/>
      <c r="F18" s="7"/>
      <c r="G18" s="7"/>
      <c r="H18" s="7"/>
      <c r="I18" s="7"/>
      <c r="J18" s="7"/>
      <c r="K18" s="7"/>
      <c r="L18" s="7"/>
      <c r="M18" s="7"/>
      <c r="N18" s="7">
        <f t="shared" si="0"/>
        <v>0</v>
      </c>
      <c r="O18" s="7"/>
      <c r="P18" s="32">
        <f t="shared" si="1"/>
        <v>0</v>
      </c>
      <c r="Q18" s="11"/>
      <c r="R18" s="12"/>
      <c r="S18" s="12"/>
      <c r="T18" s="12"/>
      <c r="U18" s="12"/>
      <c r="V18" s="12"/>
      <c r="W18" s="12"/>
      <c r="X18" s="12"/>
      <c r="Y18" s="12"/>
      <c r="Z18" s="12"/>
      <c r="AA18" s="12"/>
      <c r="AB18" s="12"/>
    </row>
    <row r="19" spans="1:28" ht="20.100000000000001" customHeight="1" x14ac:dyDescent="0.25">
      <c r="A19" s="17"/>
      <c r="B19" s="7">
        <f>+SUMIFS(Tablo17106121316182022242[SATIŞ TUTARI],Tablo17106121316182022242[TARİH],"&gt;=01/01/2026",Tablo17106121316182022242[TARİH],"&lt;=31/01/2026",Tablo17106121316182022242[MÜŞTERİ ADI],'GİDER İCMAL'!A19)</f>
        <v>0</v>
      </c>
      <c r="C19" s="7">
        <f>+SUMIFS(Tablo17106121316182022242[SATIŞ TUTARI],Tablo17106121316182022242[TARİH],"&gt;=01/02/2026",Tablo17106121316182022242[TARİH],"&lt;=28/02/2026",Tablo17106121316182022242[MÜŞTERİ ADI],'GİDER İCMAL'!A19)</f>
        <v>0</v>
      </c>
      <c r="D19" s="7"/>
      <c r="E19" s="7"/>
      <c r="F19" s="7"/>
      <c r="G19" s="7"/>
      <c r="H19" s="7"/>
      <c r="I19" s="7"/>
      <c r="J19" s="7"/>
      <c r="K19" s="7"/>
      <c r="L19" s="7"/>
      <c r="M19" s="7"/>
      <c r="N19" s="7">
        <f t="shared" si="0"/>
        <v>0</v>
      </c>
      <c r="O19" s="7"/>
      <c r="P19" s="32">
        <f t="shared" si="1"/>
        <v>0</v>
      </c>
      <c r="Q19" s="11"/>
      <c r="R19" s="12"/>
      <c r="S19" s="12"/>
      <c r="T19" s="12"/>
      <c r="U19" s="12"/>
      <c r="V19" s="12"/>
      <c r="W19" s="12"/>
      <c r="X19" s="12"/>
      <c r="Y19" s="12"/>
      <c r="Z19" s="12"/>
      <c r="AA19" s="12"/>
      <c r="AB19" s="12"/>
    </row>
    <row r="20" spans="1:28" ht="20.100000000000001" customHeight="1" x14ac:dyDescent="0.25">
      <c r="A20" s="17"/>
      <c r="B20" s="7">
        <f>+SUMIFS(Tablo17106121316182022242[SATIŞ TUTARI],Tablo17106121316182022242[TARİH],"&gt;=01/01/2026",Tablo17106121316182022242[TARİH],"&lt;=31/01/2026",Tablo17106121316182022242[MÜŞTERİ ADI],'GİDER İCMAL'!A20)</f>
        <v>0</v>
      </c>
      <c r="C20" s="7">
        <f>+SUMIFS(Tablo17106121316182022242[SATIŞ TUTARI],Tablo17106121316182022242[TARİH],"&gt;=01/02/2026",Tablo17106121316182022242[TARİH],"&lt;=28/02/2026",Tablo17106121316182022242[MÜŞTERİ ADI],'GİDER İCMAL'!A20)</f>
        <v>0</v>
      </c>
      <c r="D20" s="7"/>
      <c r="E20" s="7"/>
      <c r="F20" s="7"/>
      <c r="G20" s="7"/>
      <c r="H20" s="7"/>
      <c r="I20" s="7"/>
      <c r="J20" s="7"/>
      <c r="K20" s="7"/>
      <c r="L20" s="7"/>
      <c r="M20" s="7"/>
      <c r="N20" s="7">
        <f t="shared" si="0"/>
        <v>0</v>
      </c>
      <c r="O20" s="7"/>
      <c r="P20" s="32">
        <f t="shared" si="1"/>
        <v>0</v>
      </c>
      <c r="Q20" s="11"/>
      <c r="R20" s="12"/>
      <c r="S20" s="12"/>
      <c r="T20" s="12"/>
      <c r="U20" s="12"/>
      <c r="V20" s="12"/>
      <c r="W20" s="12"/>
      <c r="X20" s="12"/>
      <c r="Y20" s="12"/>
      <c r="Z20" s="12"/>
      <c r="AA20" s="12"/>
      <c r="AB20" s="12"/>
    </row>
    <row r="21" spans="1:28" ht="20.100000000000001" customHeight="1" x14ac:dyDescent="0.25">
      <c r="A21" s="17"/>
      <c r="B21" s="7">
        <f>+SUMIFS(Tablo17106121316182022242[SATIŞ TUTARI],Tablo17106121316182022242[TARİH],"&gt;=01/01/2026",Tablo17106121316182022242[TARİH],"&lt;=31/01/2026",Tablo17106121316182022242[MÜŞTERİ ADI],'GİDER İCMAL'!A21)</f>
        <v>0</v>
      </c>
      <c r="C21" s="7">
        <f>+SUMIFS(Tablo17106121316182022242[SATIŞ TUTARI],Tablo17106121316182022242[TARİH],"&gt;=01/02/2026",Tablo17106121316182022242[TARİH],"&lt;=28/02/2026",Tablo17106121316182022242[MÜŞTERİ ADI],'GİDER İCMAL'!A21)</f>
        <v>0</v>
      </c>
      <c r="D21" s="7"/>
      <c r="E21" s="7"/>
      <c r="F21" s="7"/>
      <c r="G21" s="7"/>
      <c r="H21" s="7"/>
      <c r="I21" s="7"/>
      <c r="J21" s="7"/>
      <c r="K21" s="7"/>
      <c r="L21" s="7"/>
      <c r="M21" s="7"/>
      <c r="N21" s="7">
        <f t="shared" si="0"/>
        <v>0</v>
      </c>
      <c r="O21" s="7"/>
      <c r="P21" s="32">
        <f t="shared" si="1"/>
        <v>0</v>
      </c>
      <c r="Q21" s="11"/>
      <c r="R21" s="12"/>
      <c r="S21" s="12"/>
      <c r="T21" s="12"/>
      <c r="U21" s="12"/>
      <c r="V21" s="12"/>
      <c r="W21" s="12"/>
      <c r="X21" s="12"/>
      <c r="Y21" s="12"/>
      <c r="Z21" s="12"/>
      <c r="AA21" s="12"/>
      <c r="AB21" s="12"/>
    </row>
    <row r="22" spans="1:28" ht="20.100000000000001" customHeight="1" x14ac:dyDescent="0.25">
      <c r="A22" s="17"/>
      <c r="B22" s="7">
        <f>+SUMIFS(Tablo17106121316182022242[SATIŞ TUTARI],Tablo17106121316182022242[TARİH],"&gt;=01/01/2026",Tablo17106121316182022242[TARİH],"&lt;=31/01/2026",Tablo17106121316182022242[MÜŞTERİ ADI],'GİDER İCMAL'!A22)</f>
        <v>0</v>
      </c>
      <c r="C22" s="7">
        <f>+SUMIFS(Tablo17106121316182022242[SATIŞ TUTARI],Tablo17106121316182022242[TARİH],"&gt;=01/02/2026",Tablo17106121316182022242[TARİH],"&lt;=28/02/2026",Tablo17106121316182022242[MÜŞTERİ ADI],'GİDER İCMAL'!A22)</f>
        <v>0</v>
      </c>
      <c r="D22" s="7"/>
      <c r="E22" s="7"/>
      <c r="F22" s="7"/>
      <c r="G22" s="7"/>
      <c r="H22" s="7"/>
      <c r="I22" s="7"/>
      <c r="J22" s="7"/>
      <c r="K22" s="7"/>
      <c r="L22" s="7"/>
      <c r="M22" s="7"/>
      <c r="N22" s="7">
        <f t="shared" si="0"/>
        <v>0</v>
      </c>
      <c r="O22" s="7"/>
      <c r="P22" s="32">
        <f t="shared" si="1"/>
        <v>0</v>
      </c>
      <c r="Q22" s="11"/>
      <c r="R22" s="12"/>
      <c r="S22" s="12"/>
      <c r="T22" s="12"/>
      <c r="U22" s="12"/>
      <c r="V22" s="12"/>
      <c r="W22" s="12"/>
      <c r="X22" s="12"/>
      <c r="Y22" s="12"/>
      <c r="Z22" s="12"/>
      <c r="AA22" s="12"/>
      <c r="AB22" s="12"/>
    </row>
    <row r="23" spans="1:28" ht="20.100000000000001" customHeight="1" x14ac:dyDescent="0.25">
      <c r="A23" s="17"/>
      <c r="B23" s="7">
        <f>+SUMIFS(Tablo17106121316182022242[SATIŞ TUTARI],Tablo17106121316182022242[TARİH],"&gt;=01/01/2026",Tablo17106121316182022242[TARİH],"&lt;=31/01/2026",Tablo17106121316182022242[MÜŞTERİ ADI],'GİDER İCMAL'!A23)</f>
        <v>0</v>
      </c>
      <c r="C23" s="7">
        <f>+SUMIFS(Tablo17106121316182022242[SATIŞ TUTARI],Tablo17106121316182022242[TARİH],"&gt;=01/02/2026",Tablo17106121316182022242[TARİH],"&lt;=28/02/2026",Tablo17106121316182022242[MÜŞTERİ ADI],'GİDER İCMAL'!A23)</f>
        <v>0</v>
      </c>
      <c r="D23" s="7"/>
      <c r="E23" s="7"/>
      <c r="F23" s="7"/>
      <c r="G23" s="7"/>
      <c r="H23" s="7"/>
      <c r="I23" s="7"/>
      <c r="J23" s="7"/>
      <c r="K23" s="7"/>
      <c r="L23" s="7"/>
      <c r="M23" s="7"/>
      <c r="N23" s="7">
        <f t="shared" si="0"/>
        <v>0</v>
      </c>
      <c r="O23" s="7"/>
      <c r="P23" s="32">
        <f t="shared" si="1"/>
        <v>0</v>
      </c>
      <c r="Q23" s="11"/>
      <c r="R23" s="12"/>
      <c r="S23" s="12"/>
      <c r="T23" s="12"/>
      <c r="U23" s="12"/>
      <c r="V23" s="12"/>
      <c r="W23" s="12"/>
      <c r="X23" s="12"/>
      <c r="Y23" s="12"/>
      <c r="Z23" s="12"/>
      <c r="AA23" s="12"/>
      <c r="AB23" s="12"/>
    </row>
    <row r="24" spans="1:28" ht="20.100000000000001" customHeight="1" x14ac:dyDescent="0.25">
      <c r="A24" s="6"/>
      <c r="B24" s="7">
        <f>+SUMIFS(Tablo17106121316182022242[SATIŞ TUTARI],Tablo17106121316182022242[TARİH],"&gt;=01/01/2026",Tablo17106121316182022242[TARİH],"&lt;=31/01/2026",Tablo17106121316182022242[MÜŞTERİ ADI],'GİDER İCMAL'!A24)</f>
        <v>0</v>
      </c>
      <c r="C24" s="7">
        <f>+SUMIFS(Tablo17106121316182022242[SATIŞ TUTARI],Tablo17106121316182022242[TARİH],"&gt;=01/02/2026",Tablo17106121316182022242[TARİH],"&lt;=28/02/2026",Tablo17106121316182022242[MÜŞTERİ ADI],'GİDER İCMAL'!A24)</f>
        <v>0</v>
      </c>
      <c r="D24" s="7"/>
      <c r="E24" s="7"/>
      <c r="F24" s="7"/>
      <c r="G24" s="7"/>
      <c r="H24" s="7"/>
      <c r="I24" s="7"/>
      <c r="J24" s="7"/>
      <c r="K24" s="7"/>
      <c r="L24" s="7"/>
      <c r="M24" s="7"/>
      <c r="N24" s="7">
        <f t="shared" si="0"/>
        <v>0</v>
      </c>
      <c r="O24" s="7"/>
      <c r="P24" s="32">
        <f t="shared" si="1"/>
        <v>0</v>
      </c>
      <c r="Q24" s="11"/>
      <c r="R24" s="12"/>
      <c r="S24" s="12"/>
      <c r="T24" s="12"/>
      <c r="U24" s="12"/>
      <c r="V24" s="12"/>
      <c r="W24" s="12"/>
      <c r="X24" s="12"/>
      <c r="Y24" s="12"/>
      <c r="Z24" s="12"/>
      <c r="AA24" s="12"/>
      <c r="AB24" s="12"/>
    </row>
    <row r="25" spans="1:28" ht="20.100000000000001" customHeight="1" x14ac:dyDescent="0.25">
      <c r="A25" s="6"/>
      <c r="B25" s="7">
        <f>+SUMIFS(Tablo17106121316182022242[SATIŞ TUTARI],Tablo17106121316182022242[TARİH],"&gt;=01/01/2026",Tablo17106121316182022242[TARİH],"&lt;=31/01/2026",Tablo17106121316182022242[MÜŞTERİ ADI],'GİDER İCMAL'!A25)</f>
        <v>0</v>
      </c>
      <c r="C25" s="7">
        <f>+SUMIFS(Tablo17106121316182022242[SATIŞ TUTARI],Tablo17106121316182022242[TARİH],"&gt;=01/02/2026",Tablo17106121316182022242[TARİH],"&lt;=28/02/2026",Tablo17106121316182022242[MÜŞTERİ ADI],'GİDER İCMAL'!A25)</f>
        <v>0</v>
      </c>
      <c r="D25" s="7"/>
      <c r="E25" s="7"/>
      <c r="F25" s="7"/>
      <c r="G25" s="7"/>
      <c r="H25" s="7"/>
      <c r="I25" s="7"/>
      <c r="J25" s="7"/>
      <c r="K25" s="7"/>
      <c r="L25" s="7"/>
      <c r="M25" s="7"/>
      <c r="N25" s="7">
        <f t="shared" si="0"/>
        <v>0</v>
      </c>
      <c r="O25" s="7"/>
      <c r="P25" s="32">
        <f t="shared" si="1"/>
        <v>0</v>
      </c>
      <c r="Q25" s="11"/>
      <c r="R25" s="12"/>
      <c r="S25" s="12"/>
      <c r="T25" s="12"/>
      <c r="U25" s="12"/>
      <c r="V25" s="12"/>
      <c r="W25" s="12"/>
      <c r="X25" s="12"/>
      <c r="Y25" s="12"/>
      <c r="Z25" s="12"/>
      <c r="AA25" s="12"/>
      <c r="AB25" s="12"/>
    </row>
    <row r="26" spans="1:28" ht="20.100000000000001" customHeight="1" x14ac:dyDescent="0.25">
      <c r="A26" s="6"/>
      <c r="B26" s="7">
        <f>+SUMIFS(Tablo17106121316182022242[SATIŞ TUTARI],Tablo17106121316182022242[TARİH],"&gt;=01/01/2026",Tablo17106121316182022242[TARİH],"&lt;=31/01/2026",Tablo17106121316182022242[MÜŞTERİ ADI],'GİDER İCMAL'!A26)</f>
        <v>0</v>
      </c>
      <c r="C26" s="7">
        <f>+SUMIFS(Tablo17106121316182022242[SATIŞ TUTARI],Tablo17106121316182022242[TARİH],"&gt;=01/02/2026",Tablo17106121316182022242[TARİH],"&lt;=28/02/2026",Tablo17106121316182022242[MÜŞTERİ ADI],'GİDER İCMAL'!A26)</f>
        <v>0</v>
      </c>
      <c r="D26" s="7"/>
      <c r="E26" s="7"/>
      <c r="F26" s="7"/>
      <c r="G26" s="7"/>
      <c r="H26" s="7"/>
      <c r="I26" s="7"/>
      <c r="J26" s="7"/>
      <c r="K26" s="7"/>
      <c r="L26" s="7"/>
      <c r="M26" s="7"/>
      <c r="N26" s="7">
        <f t="shared" si="0"/>
        <v>0</v>
      </c>
      <c r="O26" s="7"/>
      <c r="P26" s="32">
        <f t="shared" si="1"/>
        <v>0</v>
      </c>
      <c r="Q26" s="11"/>
      <c r="R26" s="12"/>
      <c r="S26" s="12"/>
      <c r="T26" s="12"/>
      <c r="U26" s="12"/>
      <c r="V26" s="12"/>
      <c r="W26" s="12"/>
      <c r="X26" s="12"/>
      <c r="Y26" s="12"/>
      <c r="Z26" s="12"/>
      <c r="AA26" s="12"/>
      <c r="AB26" s="12"/>
    </row>
    <row r="27" spans="1:28" ht="20.100000000000001" customHeight="1" x14ac:dyDescent="0.25">
      <c r="A27" s="6"/>
      <c r="B27" s="7">
        <f>+SUMIFS(Tablo17106121316182022242[SATIŞ TUTARI],Tablo17106121316182022242[TARİH],"&gt;=01/01/2026",Tablo17106121316182022242[TARİH],"&lt;=31/01/2026",Tablo17106121316182022242[MÜŞTERİ ADI],'GİDER İCMAL'!A27)</f>
        <v>0</v>
      </c>
      <c r="C27" s="7">
        <f>+SUMIFS(Tablo17106121316182022242[SATIŞ TUTARI],Tablo17106121316182022242[TARİH],"&gt;=01/02/2026",Tablo17106121316182022242[TARİH],"&lt;=28/02/2026",Tablo17106121316182022242[MÜŞTERİ ADI],'GİDER İCMAL'!A27)</f>
        <v>0</v>
      </c>
      <c r="D27" s="7"/>
      <c r="E27" s="7"/>
      <c r="F27" s="7"/>
      <c r="G27" s="7"/>
      <c r="H27" s="7"/>
      <c r="I27" s="7"/>
      <c r="J27" s="7"/>
      <c r="K27" s="7"/>
      <c r="L27" s="7"/>
      <c r="M27" s="7"/>
      <c r="N27" s="7">
        <f t="shared" si="0"/>
        <v>0</v>
      </c>
      <c r="O27" s="7"/>
      <c r="P27" s="32">
        <f t="shared" si="1"/>
        <v>0</v>
      </c>
      <c r="Q27" s="11"/>
      <c r="R27" s="12"/>
      <c r="S27" s="12"/>
      <c r="T27" s="12"/>
      <c r="U27" s="12"/>
      <c r="V27" s="12"/>
      <c r="W27" s="12"/>
      <c r="X27" s="12"/>
      <c r="Y27" s="12"/>
      <c r="Z27" s="12"/>
      <c r="AA27" s="12"/>
      <c r="AB27" s="12"/>
    </row>
    <row r="28" spans="1:28" ht="20.100000000000001" customHeight="1" x14ac:dyDescent="0.25">
      <c r="A28" s="6"/>
      <c r="B28" s="7">
        <f>+SUMIFS(Tablo17106121316182022242[SATIŞ TUTARI],Tablo17106121316182022242[TARİH],"&gt;=01/01/2026",Tablo17106121316182022242[TARİH],"&lt;=31/01/2026",Tablo17106121316182022242[MÜŞTERİ ADI],'GİDER İCMAL'!A28)</f>
        <v>0</v>
      </c>
      <c r="C28" s="7">
        <f>+SUMIFS(Tablo17106121316182022242[SATIŞ TUTARI],Tablo17106121316182022242[TARİH],"&gt;=01/02/2026",Tablo17106121316182022242[TARİH],"&lt;=28/02/2026",Tablo17106121316182022242[MÜŞTERİ ADI],'GİDER İCMAL'!A28)</f>
        <v>0</v>
      </c>
      <c r="D28" s="7"/>
      <c r="E28" s="7"/>
      <c r="F28" s="7"/>
      <c r="G28" s="7"/>
      <c r="H28" s="7"/>
      <c r="I28" s="7"/>
      <c r="J28" s="7"/>
      <c r="K28" s="7"/>
      <c r="L28" s="7"/>
      <c r="M28" s="7"/>
      <c r="N28" s="7">
        <f t="shared" si="0"/>
        <v>0</v>
      </c>
      <c r="O28" s="7"/>
      <c r="P28" s="32">
        <f t="shared" si="1"/>
        <v>0</v>
      </c>
      <c r="Q28" s="11"/>
      <c r="R28" s="12"/>
      <c r="S28" s="12"/>
      <c r="T28" s="12"/>
      <c r="U28" s="12"/>
      <c r="V28" s="12"/>
      <c r="W28" s="12"/>
      <c r="X28" s="12"/>
      <c r="Y28" s="12"/>
      <c r="Z28" s="12"/>
      <c r="AA28" s="12"/>
      <c r="AB28" s="12"/>
    </row>
    <row r="29" spans="1:28" ht="20.100000000000001" customHeight="1" x14ac:dyDescent="0.25">
      <c r="A29" s="6"/>
      <c r="B29" s="7">
        <f>+SUMIFS(Tablo17106121316182022242[SATIŞ TUTARI],Tablo17106121316182022242[TARİH],"&gt;=01/01/2026",Tablo17106121316182022242[TARİH],"&lt;=31/01/2026",Tablo17106121316182022242[MÜŞTERİ ADI],'GİDER İCMAL'!A29)</f>
        <v>0</v>
      </c>
      <c r="C29" s="7">
        <f>+SUMIFS(Tablo17106121316182022242[SATIŞ TUTARI],Tablo17106121316182022242[TARİH],"&gt;=01/02/2026",Tablo17106121316182022242[TARİH],"&lt;=28/02/2026",Tablo17106121316182022242[MÜŞTERİ ADI],'GİDER İCMAL'!A29)</f>
        <v>0</v>
      </c>
      <c r="D29" s="7"/>
      <c r="E29" s="7"/>
      <c r="F29" s="7"/>
      <c r="G29" s="7"/>
      <c r="H29" s="7"/>
      <c r="I29" s="7"/>
      <c r="J29" s="7"/>
      <c r="K29" s="7"/>
      <c r="L29" s="7"/>
      <c r="M29" s="7"/>
      <c r="N29" s="7">
        <f t="shared" si="0"/>
        <v>0</v>
      </c>
      <c r="O29" s="7"/>
      <c r="P29" s="32">
        <f t="shared" si="1"/>
        <v>0</v>
      </c>
      <c r="Q29" s="11"/>
      <c r="R29" s="12"/>
      <c r="S29" s="12"/>
      <c r="T29" s="12"/>
      <c r="U29" s="12"/>
      <c r="V29" s="12"/>
      <c r="W29" s="12"/>
      <c r="X29" s="12"/>
      <c r="Y29" s="12"/>
      <c r="Z29" s="12"/>
      <c r="AA29" s="12"/>
      <c r="AB29" s="12"/>
    </row>
    <row r="30" spans="1:28" ht="20.100000000000001" customHeight="1" x14ac:dyDescent="0.25">
      <c r="A30" s="6"/>
      <c r="B30" s="7">
        <f>+SUMIFS(Tablo17106121316182022242[SATIŞ TUTARI],Tablo17106121316182022242[TARİH],"&gt;=01/01/2026",Tablo17106121316182022242[TARİH],"&lt;=31/01/2026",Tablo17106121316182022242[MÜŞTERİ ADI],'GİDER İCMAL'!A30)</f>
        <v>0</v>
      </c>
      <c r="C30" s="7">
        <f>+SUMIFS(Tablo17106121316182022242[SATIŞ TUTARI],Tablo17106121316182022242[TARİH],"&gt;=01/02/2026",Tablo17106121316182022242[TARİH],"&lt;=28/02/2026",Tablo17106121316182022242[MÜŞTERİ ADI],'GİDER İCMAL'!A30)</f>
        <v>0</v>
      </c>
      <c r="D30" s="7"/>
      <c r="E30" s="7"/>
      <c r="F30" s="7"/>
      <c r="G30" s="7"/>
      <c r="H30" s="7"/>
      <c r="I30" s="7"/>
      <c r="J30" s="7"/>
      <c r="K30" s="7"/>
      <c r="L30" s="7"/>
      <c r="M30" s="7"/>
      <c r="N30" s="7">
        <f t="shared" si="0"/>
        <v>0</v>
      </c>
      <c r="O30" s="7"/>
      <c r="P30" s="32">
        <f t="shared" si="1"/>
        <v>0</v>
      </c>
      <c r="Q30" s="11"/>
      <c r="R30" s="12"/>
      <c r="S30" s="12"/>
      <c r="T30" s="12"/>
      <c r="U30" s="12"/>
      <c r="V30" s="12"/>
      <c r="W30" s="12"/>
      <c r="X30" s="12"/>
      <c r="Y30" s="12"/>
      <c r="Z30" s="12"/>
      <c r="AA30" s="12"/>
      <c r="AB30" s="12"/>
    </row>
    <row r="31" spans="1:28" ht="20.100000000000001" customHeight="1" x14ac:dyDescent="0.25">
      <c r="A31" s="6"/>
      <c r="B31" s="7">
        <f>+SUMIFS(Tablo17106121316182022242[SATIŞ TUTARI],Tablo17106121316182022242[TARİH],"&gt;=01/01/2026",Tablo17106121316182022242[TARİH],"&lt;=31/01/2026",Tablo17106121316182022242[MÜŞTERİ ADI],'GİDER İCMAL'!A31)</f>
        <v>0</v>
      </c>
      <c r="C31" s="7">
        <f>+SUMIFS(Tablo17106121316182022242[SATIŞ TUTARI],Tablo17106121316182022242[TARİH],"&gt;=01/02/2026",Tablo17106121316182022242[TARİH],"&lt;=28/02/2026",Tablo17106121316182022242[MÜŞTERİ ADI],'GİDER İCMAL'!A31)</f>
        <v>0</v>
      </c>
      <c r="D31" s="7"/>
      <c r="E31" s="7"/>
      <c r="F31" s="7"/>
      <c r="G31" s="7"/>
      <c r="H31" s="7"/>
      <c r="I31" s="7"/>
      <c r="J31" s="7"/>
      <c r="K31" s="7"/>
      <c r="L31" s="7"/>
      <c r="M31" s="7"/>
      <c r="N31" s="7">
        <f t="shared" si="0"/>
        <v>0</v>
      </c>
      <c r="O31" s="7"/>
      <c r="P31" s="32">
        <f t="shared" si="1"/>
        <v>0</v>
      </c>
      <c r="Q31" s="11"/>
      <c r="R31" s="12"/>
      <c r="S31" s="12"/>
      <c r="T31" s="12"/>
      <c r="U31" s="12"/>
      <c r="V31" s="12"/>
      <c r="W31" s="12"/>
      <c r="X31" s="12"/>
      <c r="Y31" s="12"/>
      <c r="Z31" s="12"/>
      <c r="AA31" s="12"/>
      <c r="AB31" s="12"/>
    </row>
    <row r="32" spans="1:28" ht="20.100000000000001" customHeight="1" x14ac:dyDescent="0.25">
      <c r="A32" s="6"/>
      <c r="B32" s="7">
        <f>+SUMIFS(Tablo17106121316182022242[SATIŞ TUTARI],Tablo17106121316182022242[TARİH],"&gt;=01/01/2026",Tablo17106121316182022242[TARİH],"&lt;=31/01/2026",Tablo17106121316182022242[MÜŞTERİ ADI],'GİDER İCMAL'!A32)</f>
        <v>0</v>
      </c>
      <c r="C32" s="7">
        <f>+SUMIFS(Tablo17106121316182022242[SATIŞ TUTARI],Tablo17106121316182022242[TARİH],"&gt;=01/02/2026",Tablo17106121316182022242[TARİH],"&lt;=28/02/2026",Tablo17106121316182022242[MÜŞTERİ ADI],'GİDER İCMAL'!A32)</f>
        <v>0</v>
      </c>
      <c r="D32" s="7"/>
      <c r="E32" s="7"/>
      <c r="F32" s="7"/>
      <c r="G32" s="7"/>
      <c r="H32" s="7"/>
      <c r="I32" s="7"/>
      <c r="J32" s="7"/>
      <c r="K32" s="7"/>
      <c r="L32" s="7"/>
      <c r="M32" s="7"/>
      <c r="N32" s="7">
        <f t="shared" si="0"/>
        <v>0</v>
      </c>
      <c r="O32" s="7"/>
      <c r="P32" s="32">
        <f t="shared" si="1"/>
        <v>0</v>
      </c>
      <c r="Q32" s="11"/>
      <c r="R32" s="12"/>
      <c r="S32" s="12"/>
      <c r="T32" s="12"/>
      <c r="U32" s="12"/>
      <c r="V32" s="12"/>
      <c r="W32" s="12"/>
      <c r="X32" s="12"/>
      <c r="Y32" s="12"/>
      <c r="Z32" s="12"/>
      <c r="AA32" s="12"/>
      <c r="AB32" s="12"/>
    </row>
    <row r="33" spans="1:28" ht="20.100000000000001" customHeight="1" x14ac:dyDescent="0.25">
      <c r="A33" s="6"/>
      <c r="B33" s="7">
        <f>+SUMIFS(Tablo17106121316182022242[SATIŞ TUTARI],Tablo17106121316182022242[TARİH],"&gt;=01/01/2026",Tablo17106121316182022242[TARİH],"&lt;=31/01/2026",Tablo17106121316182022242[MÜŞTERİ ADI],'GİDER İCMAL'!A33)</f>
        <v>0</v>
      </c>
      <c r="C33" s="7">
        <f>+SUMIFS(Tablo17106121316182022242[SATIŞ TUTARI],Tablo17106121316182022242[TARİH],"&gt;=01/02/2026",Tablo17106121316182022242[TARİH],"&lt;=28/02/2026",Tablo17106121316182022242[MÜŞTERİ ADI],'GİDER İCMAL'!A33)</f>
        <v>0</v>
      </c>
      <c r="D33" s="7"/>
      <c r="E33" s="7"/>
      <c r="F33" s="7"/>
      <c r="G33" s="7"/>
      <c r="H33" s="7"/>
      <c r="I33" s="7"/>
      <c r="J33" s="7"/>
      <c r="K33" s="7"/>
      <c r="L33" s="7"/>
      <c r="M33" s="7"/>
      <c r="N33" s="7">
        <f t="shared" si="0"/>
        <v>0</v>
      </c>
      <c r="O33" s="7"/>
      <c r="P33" s="32">
        <f t="shared" si="1"/>
        <v>0</v>
      </c>
      <c r="Q33" s="11"/>
      <c r="R33" s="12"/>
      <c r="S33" s="12"/>
      <c r="T33" s="12"/>
      <c r="U33" s="12"/>
      <c r="V33" s="12"/>
      <c r="W33" s="12"/>
      <c r="X33" s="12"/>
      <c r="Y33" s="12"/>
      <c r="Z33" s="12"/>
      <c r="AA33" s="12"/>
      <c r="AB33" s="12"/>
    </row>
    <row r="34" spans="1:28" ht="20.100000000000001" customHeight="1" x14ac:dyDescent="0.25">
      <c r="A34" s="6"/>
      <c r="B34" s="7">
        <f>+SUMIFS(Tablo17106121316182022242[SATIŞ TUTARI],Tablo17106121316182022242[TARİH],"&gt;=01/01/2026",Tablo17106121316182022242[TARİH],"&lt;=31/01/2026",Tablo17106121316182022242[MÜŞTERİ ADI],'GİDER İCMAL'!A34)</f>
        <v>0</v>
      </c>
      <c r="C34" s="7">
        <f>+SUMIFS(Tablo17106121316182022242[SATIŞ TUTARI],Tablo17106121316182022242[TARİH],"&gt;=01/02/2026",Tablo17106121316182022242[TARİH],"&lt;=28/02/2026",Tablo17106121316182022242[MÜŞTERİ ADI],'GİDER İCMAL'!A34)</f>
        <v>0</v>
      </c>
      <c r="D34" s="7"/>
      <c r="E34" s="7"/>
      <c r="F34" s="7"/>
      <c r="G34" s="7"/>
      <c r="H34" s="7"/>
      <c r="I34" s="7"/>
      <c r="J34" s="7"/>
      <c r="K34" s="7"/>
      <c r="L34" s="7"/>
      <c r="M34" s="7"/>
      <c r="N34" s="7">
        <f t="shared" si="0"/>
        <v>0</v>
      </c>
      <c r="O34" s="7"/>
      <c r="P34" s="32">
        <f t="shared" si="1"/>
        <v>0</v>
      </c>
      <c r="Q34" s="11"/>
      <c r="R34" s="12"/>
      <c r="S34" s="12"/>
      <c r="T34" s="12"/>
      <c r="U34" s="12"/>
      <c r="V34" s="12"/>
      <c r="W34" s="12"/>
      <c r="X34" s="12"/>
      <c r="Y34" s="12"/>
      <c r="Z34" s="12"/>
      <c r="AA34" s="12"/>
      <c r="AB34" s="12"/>
    </row>
    <row r="35" spans="1:28" ht="20.100000000000001" customHeight="1" x14ac:dyDescent="0.25">
      <c r="A35" s="6"/>
      <c r="B35" s="7">
        <f>+SUMIFS(Tablo17106121316182022242[SATIŞ TUTARI],Tablo17106121316182022242[TARİH],"&gt;=01/01/2026",Tablo17106121316182022242[TARİH],"&lt;=31/01/2026",Tablo17106121316182022242[MÜŞTERİ ADI],'GİDER İCMAL'!A35)</f>
        <v>0</v>
      </c>
      <c r="C35" s="7">
        <f>+SUMIFS(Tablo17106121316182022242[SATIŞ TUTARI],Tablo17106121316182022242[TARİH],"&gt;=01/02/2026",Tablo17106121316182022242[TARİH],"&lt;=28/02/2026",Tablo17106121316182022242[MÜŞTERİ ADI],'GİDER İCMAL'!A35)</f>
        <v>0</v>
      </c>
      <c r="D35" s="7"/>
      <c r="E35" s="7"/>
      <c r="F35" s="7"/>
      <c r="G35" s="7"/>
      <c r="H35" s="7"/>
      <c r="I35" s="7"/>
      <c r="J35" s="7"/>
      <c r="K35" s="7"/>
      <c r="L35" s="7"/>
      <c r="M35" s="7"/>
      <c r="N35" s="7">
        <f t="shared" si="0"/>
        <v>0</v>
      </c>
      <c r="O35" s="7"/>
      <c r="P35" s="32">
        <f t="shared" si="1"/>
        <v>0</v>
      </c>
      <c r="Q35" s="11"/>
      <c r="R35" s="12"/>
      <c r="S35" s="12"/>
      <c r="T35" s="12"/>
      <c r="U35" s="12"/>
      <c r="V35" s="12"/>
      <c r="W35" s="12"/>
      <c r="X35" s="12"/>
      <c r="Y35" s="12"/>
      <c r="Z35" s="12"/>
      <c r="AA35" s="12"/>
      <c r="AB35" s="12"/>
    </row>
    <row r="36" spans="1:28" ht="20.100000000000001" customHeight="1" x14ac:dyDescent="0.25">
      <c r="A36" s="6"/>
      <c r="B36" s="7">
        <f>+SUMIFS(Tablo17106121316182022242[SATIŞ TUTARI],Tablo17106121316182022242[TARİH],"&gt;=01/01/2026",Tablo17106121316182022242[TARİH],"&lt;=31/01/2026",Tablo17106121316182022242[MÜŞTERİ ADI],'GİDER İCMAL'!A36)</f>
        <v>0</v>
      </c>
      <c r="C36" s="7">
        <f>+SUMIFS(Tablo17106121316182022242[SATIŞ TUTARI],Tablo17106121316182022242[TARİH],"&gt;=01/02/2026",Tablo17106121316182022242[TARİH],"&lt;=28/02/2026",Tablo17106121316182022242[MÜŞTERİ ADI],'GİDER İCMAL'!A36)</f>
        <v>0</v>
      </c>
      <c r="D36" s="7"/>
      <c r="E36" s="7"/>
      <c r="F36" s="7"/>
      <c r="G36" s="7"/>
      <c r="H36" s="7"/>
      <c r="I36" s="7"/>
      <c r="J36" s="7"/>
      <c r="K36" s="7"/>
      <c r="L36" s="7"/>
      <c r="M36" s="7"/>
      <c r="N36" s="7">
        <f t="shared" si="0"/>
        <v>0</v>
      </c>
      <c r="O36" s="7"/>
      <c r="P36" s="32">
        <f t="shared" si="1"/>
        <v>0</v>
      </c>
      <c r="Q36" s="11"/>
      <c r="R36" s="12"/>
      <c r="S36" s="12"/>
      <c r="T36" s="12"/>
      <c r="U36" s="12"/>
      <c r="V36" s="12"/>
      <c r="W36" s="12"/>
      <c r="X36" s="12"/>
      <c r="Y36" s="12"/>
      <c r="Z36" s="12"/>
      <c r="AA36" s="12"/>
      <c r="AB36" s="12"/>
    </row>
    <row r="37" spans="1:28" ht="20.100000000000001" customHeight="1" x14ac:dyDescent="0.25">
      <c r="A37" s="6"/>
      <c r="B37" s="7">
        <f>+SUMIFS(Tablo17106121316182022242[SATIŞ TUTARI],Tablo17106121316182022242[TARİH],"&gt;=01/01/2026",Tablo17106121316182022242[TARİH],"&lt;=31/01/2026",Tablo17106121316182022242[MÜŞTERİ ADI],'GİDER İCMAL'!A37)</f>
        <v>0</v>
      </c>
      <c r="C37" s="7">
        <f>+SUMIFS(Tablo17106121316182022242[SATIŞ TUTARI],Tablo17106121316182022242[TARİH],"&gt;=01/02/2026",Tablo17106121316182022242[TARİH],"&lt;=28/02/2026",Tablo17106121316182022242[MÜŞTERİ ADI],'GİDER İCMAL'!A37)</f>
        <v>0</v>
      </c>
      <c r="D37" s="7"/>
      <c r="E37" s="7"/>
      <c r="F37" s="7"/>
      <c r="G37" s="7"/>
      <c r="H37" s="7"/>
      <c r="I37" s="7"/>
      <c r="J37" s="7"/>
      <c r="K37" s="7"/>
      <c r="L37" s="7"/>
      <c r="M37" s="7"/>
      <c r="N37" s="7">
        <f t="shared" si="0"/>
        <v>0</v>
      </c>
      <c r="O37" s="7"/>
      <c r="P37" s="32">
        <f t="shared" si="1"/>
        <v>0</v>
      </c>
      <c r="Q37" s="11"/>
      <c r="R37" s="12"/>
      <c r="S37" s="12"/>
      <c r="T37" s="12"/>
      <c r="U37" s="12"/>
      <c r="V37" s="12"/>
      <c r="W37" s="12"/>
      <c r="X37" s="12"/>
      <c r="Y37" s="12"/>
      <c r="Z37" s="12"/>
      <c r="AA37" s="12"/>
      <c r="AB37" s="12"/>
    </row>
    <row r="38" spans="1:28" ht="20.100000000000001" customHeight="1" x14ac:dyDescent="0.25">
      <c r="A38" s="6"/>
      <c r="B38" s="7">
        <f>+SUMIFS(Tablo17106121316182022242[SATIŞ TUTARI],Tablo17106121316182022242[TARİH],"&gt;=01/01/2026",Tablo17106121316182022242[TARİH],"&lt;=31/01/2026",Tablo17106121316182022242[MÜŞTERİ ADI],'GİDER İCMAL'!A38)</f>
        <v>0</v>
      </c>
      <c r="C38" s="7">
        <f>+SUMIFS(Tablo17106121316182022242[SATIŞ TUTARI],Tablo17106121316182022242[TARİH],"&gt;=01/02/2026",Tablo17106121316182022242[TARİH],"&lt;=28/02/2026",Tablo17106121316182022242[MÜŞTERİ ADI],'GİDER İCMAL'!A38)</f>
        <v>0</v>
      </c>
      <c r="D38" s="7"/>
      <c r="E38" s="7"/>
      <c r="F38" s="7"/>
      <c r="G38" s="7"/>
      <c r="H38" s="7"/>
      <c r="I38" s="7"/>
      <c r="J38" s="7"/>
      <c r="K38" s="7"/>
      <c r="L38" s="7"/>
      <c r="M38" s="7"/>
      <c r="N38" s="7">
        <f t="shared" si="0"/>
        <v>0</v>
      </c>
      <c r="O38" s="7"/>
      <c r="P38" s="32">
        <f t="shared" si="1"/>
        <v>0</v>
      </c>
      <c r="Q38" s="11"/>
      <c r="R38" s="12"/>
      <c r="S38" s="12"/>
      <c r="T38" s="12"/>
      <c r="U38" s="12"/>
      <c r="V38" s="12"/>
      <c r="W38" s="12"/>
      <c r="X38" s="12"/>
      <c r="Y38" s="12"/>
      <c r="Z38" s="12"/>
      <c r="AA38" s="12"/>
      <c r="AB38" s="12"/>
    </row>
    <row r="39" spans="1:28" ht="20.100000000000001" customHeight="1" x14ac:dyDescent="0.25">
      <c r="A39" s="6"/>
      <c r="B39" s="7">
        <f>+SUMIFS(Tablo17106121316182022242[SATIŞ TUTARI],Tablo17106121316182022242[TARİH],"&gt;=01/01/2026",Tablo17106121316182022242[TARİH],"&lt;=31/01/2026",Tablo17106121316182022242[MÜŞTERİ ADI],'GİDER İCMAL'!A39)</f>
        <v>0</v>
      </c>
      <c r="C39" s="7">
        <f>+SUMIFS(Tablo17106121316182022242[SATIŞ TUTARI],Tablo17106121316182022242[TARİH],"&gt;=01/02/2026",Tablo17106121316182022242[TARİH],"&lt;=28/02/2026",Tablo17106121316182022242[MÜŞTERİ ADI],'GİDER İCMAL'!A39)</f>
        <v>0</v>
      </c>
      <c r="D39" s="7"/>
      <c r="E39" s="7"/>
      <c r="F39" s="7"/>
      <c r="G39" s="7"/>
      <c r="H39" s="7"/>
      <c r="I39" s="7"/>
      <c r="J39" s="7"/>
      <c r="K39" s="7"/>
      <c r="L39" s="7"/>
      <c r="M39" s="7"/>
      <c r="N39" s="7">
        <f t="shared" si="0"/>
        <v>0</v>
      </c>
      <c r="O39" s="7"/>
      <c r="P39" s="32">
        <f t="shared" si="1"/>
        <v>0</v>
      </c>
      <c r="Q39" s="11"/>
      <c r="R39" s="12"/>
      <c r="S39" s="12"/>
      <c r="T39" s="12"/>
      <c r="U39" s="12"/>
      <c r="V39" s="12"/>
      <c r="W39" s="12"/>
      <c r="X39" s="12"/>
      <c r="Y39" s="12"/>
      <c r="Z39" s="12"/>
      <c r="AA39" s="12"/>
      <c r="AB39" s="12"/>
    </row>
    <row r="40" spans="1:28" ht="19.5" customHeight="1" x14ac:dyDescent="0.25">
      <c r="A40" s="6"/>
      <c r="B40" s="7">
        <f>+SUMIFS(Tablo17106121316182022242[SATIŞ TUTARI],Tablo17106121316182022242[TARİH],"&gt;=01/01/2026",Tablo17106121316182022242[TARİH],"&lt;=31/01/2026",Tablo17106121316182022242[MÜŞTERİ ADI],'GİDER İCMAL'!A40)</f>
        <v>0</v>
      </c>
      <c r="C40" s="7">
        <f>+SUMIFS(Tablo17106121316182022242[SATIŞ TUTARI],Tablo17106121316182022242[TARİH],"&gt;=01/02/2026",Tablo17106121316182022242[TARİH],"&lt;=28/02/2026",Tablo17106121316182022242[MÜŞTERİ ADI],'GİDER İCMAL'!A40)</f>
        <v>0</v>
      </c>
      <c r="D40" s="7"/>
      <c r="E40" s="7"/>
      <c r="F40" s="7"/>
      <c r="G40" s="7"/>
      <c r="H40" s="7"/>
      <c r="I40" s="7"/>
      <c r="J40" s="7"/>
      <c r="K40" s="7"/>
      <c r="L40" s="7"/>
      <c r="M40" s="7"/>
      <c r="N40" s="7">
        <f t="shared" si="0"/>
        <v>0</v>
      </c>
      <c r="O40" s="7"/>
      <c r="P40" s="32">
        <f t="shared" si="1"/>
        <v>0</v>
      </c>
      <c r="Q40" s="11"/>
      <c r="R40" s="12"/>
      <c r="S40" s="12"/>
      <c r="T40" s="12"/>
      <c r="U40" s="12"/>
      <c r="V40" s="12"/>
      <c r="W40" s="12"/>
      <c r="X40" s="12"/>
      <c r="Y40" s="12"/>
      <c r="Z40" s="12"/>
      <c r="AA40" s="12"/>
      <c r="AB40" s="12"/>
    </row>
    <row r="41" spans="1:28" ht="20.100000000000001" customHeight="1" x14ac:dyDescent="0.25">
      <c r="A41" s="6"/>
      <c r="B41" s="7">
        <f>+SUMIFS(Tablo17106121316182022242[SATIŞ TUTARI],Tablo17106121316182022242[TARİH],"&gt;=01/01/2026",Tablo17106121316182022242[TARİH],"&lt;=31/01/2026",Tablo17106121316182022242[MÜŞTERİ ADI],'GİDER İCMAL'!A41)</f>
        <v>0</v>
      </c>
      <c r="C41" s="7">
        <f>+SUMIFS(Tablo17106121316182022242[SATIŞ TUTARI],Tablo17106121316182022242[TARİH],"&gt;=01/02/2026",Tablo17106121316182022242[TARİH],"&lt;=28/02/2026",Tablo17106121316182022242[MÜŞTERİ ADI],'GİDER İCMAL'!A41)</f>
        <v>0</v>
      </c>
      <c r="D41" s="7"/>
      <c r="E41" s="7"/>
      <c r="F41" s="7"/>
      <c r="G41" s="7"/>
      <c r="H41" s="7"/>
      <c r="I41" s="7"/>
      <c r="J41" s="7"/>
      <c r="K41" s="7"/>
      <c r="L41" s="7"/>
      <c r="M41" s="7"/>
      <c r="N41" s="7">
        <f t="shared" si="0"/>
        <v>0</v>
      </c>
      <c r="O41" s="7"/>
      <c r="P41" s="32">
        <f t="shared" si="1"/>
        <v>0</v>
      </c>
      <c r="Q41" s="11"/>
      <c r="R41" s="12"/>
      <c r="S41" s="12"/>
      <c r="T41" s="12"/>
      <c r="U41" s="12"/>
      <c r="V41" s="12"/>
      <c r="W41" s="12"/>
      <c r="X41" s="12"/>
      <c r="Y41" s="12"/>
      <c r="Z41" s="12"/>
      <c r="AA41" s="12"/>
      <c r="AB41" s="12"/>
    </row>
    <row r="42" spans="1:28" ht="20.100000000000001" customHeight="1" x14ac:dyDescent="0.25">
      <c r="A42" s="6"/>
      <c r="B42" s="7">
        <f>+SUMIFS(Tablo17106121316182022242[SATIŞ TUTARI],Tablo17106121316182022242[TARİH],"&gt;=01/01/2026",Tablo17106121316182022242[TARİH],"&lt;=31/01/2026",Tablo17106121316182022242[MÜŞTERİ ADI],'GİDER İCMAL'!A42)</f>
        <v>0</v>
      </c>
      <c r="C42" s="7">
        <f>+SUMIFS(Tablo17106121316182022242[SATIŞ TUTARI],Tablo17106121316182022242[TARİH],"&gt;=01/02/2026",Tablo17106121316182022242[TARİH],"&lt;=28/02/2026",Tablo17106121316182022242[MÜŞTERİ ADI],'GİDER İCMAL'!A42)</f>
        <v>0</v>
      </c>
      <c r="D42" s="7"/>
      <c r="E42" s="7"/>
      <c r="F42" s="7"/>
      <c r="G42" s="7"/>
      <c r="H42" s="7"/>
      <c r="I42" s="7"/>
      <c r="J42" s="7"/>
      <c r="K42" s="7"/>
      <c r="L42" s="7"/>
      <c r="M42" s="7"/>
      <c r="N42" s="7">
        <f t="shared" si="0"/>
        <v>0</v>
      </c>
      <c r="O42" s="7"/>
      <c r="P42" s="32">
        <f t="shared" si="1"/>
        <v>0</v>
      </c>
      <c r="Q42" s="11"/>
      <c r="R42" s="12"/>
      <c r="S42" s="12"/>
      <c r="T42" s="12"/>
      <c r="U42" s="12"/>
      <c r="V42" s="12"/>
      <c r="W42" s="12"/>
      <c r="X42" s="12"/>
      <c r="Y42" s="12"/>
      <c r="Z42" s="12"/>
      <c r="AA42" s="12"/>
      <c r="AB42" s="12"/>
    </row>
    <row r="43" spans="1:28" ht="20.100000000000001" customHeight="1" x14ac:dyDescent="0.25">
      <c r="A43" s="6"/>
      <c r="B43" s="7">
        <f>+SUMIFS(Tablo17106121316182022242[SATIŞ TUTARI],Tablo17106121316182022242[TARİH],"&gt;=01/01/2026",Tablo17106121316182022242[TARİH],"&lt;=31/01/2026",Tablo17106121316182022242[MÜŞTERİ ADI],'GİDER İCMAL'!A43)</f>
        <v>0</v>
      </c>
      <c r="C43" s="7">
        <f>+SUMIFS(Tablo17106121316182022242[SATIŞ TUTARI],Tablo17106121316182022242[TARİH],"&gt;=01/02/2026",Tablo17106121316182022242[TARİH],"&lt;=28/02/2026",Tablo17106121316182022242[MÜŞTERİ ADI],'GİDER İCMAL'!A43)</f>
        <v>0</v>
      </c>
      <c r="D43" s="7"/>
      <c r="E43" s="7"/>
      <c r="F43" s="7"/>
      <c r="G43" s="7"/>
      <c r="H43" s="7"/>
      <c r="I43" s="7"/>
      <c r="J43" s="7"/>
      <c r="K43" s="7"/>
      <c r="L43" s="7"/>
      <c r="M43" s="7"/>
      <c r="N43" s="7">
        <f t="shared" si="0"/>
        <v>0</v>
      </c>
      <c r="O43" s="7"/>
      <c r="P43" s="32">
        <f t="shared" si="1"/>
        <v>0</v>
      </c>
      <c r="Q43" s="11"/>
      <c r="R43" s="12"/>
      <c r="S43" s="12"/>
      <c r="T43" s="12"/>
      <c r="U43" s="12"/>
      <c r="V43" s="12"/>
      <c r="W43" s="12"/>
      <c r="X43" s="12"/>
      <c r="Y43" s="12"/>
      <c r="Z43" s="12"/>
      <c r="AA43" s="12"/>
      <c r="AB43" s="12"/>
    </row>
    <row r="44" spans="1:28" ht="20.100000000000001" customHeight="1" x14ac:dyDescent="0.25">
      <c r="A44" s="6"/>
      <c r="B44" s="7">
        <f>+SUMIFS(Tablo17106121316182022242[SATIŞ TUTARI],Tablo17106121316182022242[TARİH],"&gt;=01/01/2026",Tablo17106121316182022242[TARİH],"&lt;=31/01/2026",Tablo17106121316182022242[MÜŞTERİ ADI],'GİDER İCMAL'!A44)</f>
        <v>0</v>
      </c>
      <c r="C44" s="7">
        <f>+SUMIFS(Tablo17106121316182022242[SATIŞ TUTARI],Tablo17106121316182022242[TARİH],"&gt;=01/02/2026",Tablo17106121316182022242[TARİH],"&lt;=28/02/2026",Tablo17106121316182022242[MÜŞTERİ ADI],'GİDER İCMAL'!A44)</f>
        <v>0</v>
      </c>
      <c r="D44" s="7"/>
      <c r="E44" s="7"/>
      <c r="F44" s="7"/>
      <c r="G44" s="7"/>
      <c r="H44" s="7"/>
      <c r="I44" s="7"/>
      <c r="J44" s="7"/>
      <c r="K44" s="7"/>
      <c r="L44" s="7"/>
      <c r="M44" s="7"/>
      <c r="N44" s="7">
        <f t="shared" si="0"/>
        <v>0</v>
      </c>
      <c r="O44" s="7"/>
      <c r="P44" s="32">
        <f t="shared" si="1"/>
        <v>0</v>
      </c>
      <c r="Q44" s="11"/>
      <c r="R44" s="12"/>
      <c r="S44" s="12"/>
      <c r="T44" s="12"/>
      <c r="U44" s="12"/>
      <c r="V44" s="12"/>
      <c r="W44" s="12"/>
      <c r="X44" s="12"/>
      <c r="Y44" s="12"/>
      <c r="Z44" s="12"/>
      <c r="AA44" s="12"/>
      <c r="AB44" s="12"/>
    </row>
    <row r="45" spans="1:28" ht="20.100000000000001" customHeight="1" x14ac:dyDescent="0.25">
      <c r="A45" s="6"/>
      <c r="B45" s="7">
        <f>+SUMIFS(Tablo17106121316182022242[SATIŞ TUTARI],Tablo17106121316182022242[TARİH],"&gt;=01/01/2026",Tablo17106121316182022242[TARİH],"&lt;=31/01/2026",Tablo17106121316182022242[MÜŞTERİ ADI],'GİDER İCMAL'!A45)</f>
        <v>0</v>
      </c>
      <c r="C45" s="7">
        <f>+SUMIFS(Tablo17106121316182022242[SATIŞ TUTARI],Tablo17106121316182022242[TARİH],"&gt;=01/02/2026",Tablo17106121316182022242[TARİH],"&lt;=28/02/2026",Tablo17106121316182022242[MÜŞTERİ ADI],'GİDER İCMAL'!A45)</f>
        <v>0</v>
      </c>
      <c r="D45" s="7"/>
      <c r="E45" s="7"/>
      <c r="F45" s="7"/>
      <c r="G45" s="7"/>
      <c r="H45" s="7"/>
      <c r="I45" s="7"/>
      <c r="J45" s="7"/>
      <c r="K45" s="7"/>
      <c r="L45" s="7"/>
      <c r="M45" s="7"/>
      <c r="N45" s="7">
        <f t="shared" si="0"/>
        <v>0</v>
      </c>
      <c r="O45" s="7"/>
      <c r="P45" s="32">
        <f t="shared" si="1"/>
        <v>0</v>
      </c>
      <c r="Q45" s="11"/>
      <c r="R45" s="12"/>
      <c r="S45" s="12"/>
      <c r="T45" s="12"/>
      <c r="U45" s="12"/>
      <c r="V45" s="12"/>
      <c r="W45" s="12"/>
      <c r="X45" s="12"/>
      <c r="Y45" s="12"/>
      <c r="Z45" s="12"/>
      <c r="AA45" s="12"/>
      <c r="AB45" s="12"/>
    </row>
    <row r="46" spans="1:28" ht="20.100000000000001" customHeight="1" x14ac:dyDescent="0.25">
      <c r="A46" s="6"/>
      <c r="B46" s="7">
        <f>+SUMIFS(Tablo17106121316182022242[SATIŞ TUTARI],Tablo17106121316182022242[TARİH],"&gt;=01/01/2026",Tablo17106121316182022242[TARİH],"&lt;=31/01/2026",Tablo17106121316182022242[MÜŞTERİ ADI],'GİDER İCMAL'!A46)</f>
        <v>0</v>
      </c>
      <c r="C46" s="7">
        <f>+SUMIFS(Tablo17106121316182022242[SATIŞ TUTARI],Tablo17106121316182022242[TARİH],"&gt;=01/02/2026",Tablo17106121316182022242[TARİH],"&lt;=28/02/2026",Tablo17106121316182022242[MÜŞTERİ ADI],'GİDER İCMAL'!A46)</f>
        <v>0</v>
      </c>
      <c r="D46" s="7"/>
      <c r="E46" s="7"/>
      <c r="F46" s="7"/>
      <c r="G46" s="7"/>
      <c r="H46" s="7"/>
      <c r="I46" s="7"/>
      <c r="J46" s="7"/>
      <c r="K46" s="7"/>
      <c r="L46" s="7"/>
      <c r="M46" s="7"/>
      <c r="N46" s="7">
        <f t="shared" si="0"/>
        <v>0</v>
      </c>
      <c r="O46" s="7"/>
      <c r="P46" s="32">
        <f t="shared" si="1"/>
        <v>0</v>
      </c>
      <c r="Q46" s="11"/>
      <c r="R46" s="12"/>
      <c r="S46" s="12"/>
      <c r="T46" s="12"/>
      <c r="U46" s="12"/>
      <c r="V46" s="12"/>
      <c r="W46" s="12"/>
      <c r="X46" s="12"/>
      <c r="Y46" s="12"/>
      <c r="Z46" s="12"/>
      <c r="AA46" s="12"/>
      <c r="AB46" s="12"/>
    </row>
    <row r="47" spans="1:28" ht="20.100000000000001" customHeight="1" x14ac:dyDescent="0.25">
      <c r="A47" s="6"/>
      <c r="B47" s="7">
        <f>+SUMIFS(Tablo17106121316182022242[SATIŞ TUTARI],Tablo17106121316182022242[TARİH],"&gt;=01/01/2026",Tablo17106121316182022242[TARİH],"&lt;=31/01/2026",Tablo17106121316182022242[MÜŞTERİ ADI],'GİDER İCMAL'!A47)</f>
        <v>0</v>
      </c>
      <c r="C47" s="7">
        <f>+SUMIFS(Tablo17106121316182022242[SATIŞ TUTARI],Tablo17106121316182022242[TARİH],"&gt;=01/02/2026",Tablo17106121316182022242[TARİH],"&lt;=28/02/2026",Tablo17106121316182022242[MÜŞTERİ ADI],'GİDER İCMAL'!A47)</f>
        <v>0</v>
      </c>
      <c r="D47" s="7"/>
      <c r="E47" s="7"/>
      <c r="F47" s="7"/>
      <c r="G47" s="7"/>
      <c r="H47" s="7"/>
      <c r="I47" s="7"/>
      <c r="J47" s="7"/>
      <c r="K47" s="7"/>
      <c r="L47" s="7"/>
      <c r="M47" s="7"/>
      <c r="N47" s="7">
        <f t="shared" si="0"/>
        <v>0</v>
      </c>
      <c r="O47" s="7"/>
      <c r="P47" s="32">
        <f t="shared" si="1"/>
        <v>0</v>
      </c>
      <c r="Q47" s="11"/>
      <c r="R47" s="12"/>
      <c r="S47" s="12"/>
      <c r="T47" s="12"/>
      <c r="U47" s="12"/>
      <c r="V47" s="12"/>
      <c r="W47" s="12"/>
      <c r="X47" s="12"/>
      <c r="Y47" s="12"/>
      <c r="Z47" s="12"/>
      <c r="AA47" s="12"/>
      <c r="AB47" s="12"/>
    </row>
    <row r="48" spans="1:28" ht="20.100000000000001" customHeight="1" x14ac:dyDescent="0.25">
      <c r="A48" s="6"/>
      <c r="B48" s="7">
        <f>+SUMIFS(Tablo17106121316182022242[SATIŞ TUTARI],Tablo17106121316182022242[TARİH],"&gt;=01/01/2026",Tablo17106121316182022242[TARİH],"&lt;=31/01/2026",Tablo17106121316182022242[MÜŞTERİ ADI],'GİDER İCMAL'!A48)</f>
        <v>0</v>
      </c>
      <c r="C48" s="7">
        <f>+SUMIFS(Tablo17106121316182022242[SATIŞ TUTARI],Tablo17106121316182022242[TARİH],"&gt;=01/02/2026",Tablo17106121316182022242[TARİH],"&lt;=28/02/2026",Tablo17106121316182022242[MÜŞTERİ ADI],'GİDER İCMAL'!A48)</f>
        <v>0</v>
      </c>
      <c r="D48" s="7"/>
      <c r="E48" s="7"/>
      <c r="F48" s="7"/>
      <c r="G48" s="7"/>
      <c r="H48" s="7"/>
      <c r="I48" s="7"/>
      <c r="J48" s="7"/>
      <c r="K48" s="7"/>
      <c r="L48" s="7"/>
      <c r="M48" s="7"/>
      <c r="N48" s="7">
        <f t="shared" si="0"/>
        <v>0</v>
      </c>
      <c r="O48" s="7"/>
      <c r="P48" s="32">
        <f t="shared" si="1"/>
        <v>0</v>
      </c>
      <c r="Q48" s="11"/>
      <c r="R48" s="12"/>
      <c r="S48" s="12"/>
      <c r="T48" s="12"/>
      <c r="U48" s="12"/>
      <c r="V48" s="12"/>
      <c r="W48" s="12"/>
      <c r="X48" s="12"/>
      <c r="Y48" s="12"/>
      <c r="Z48" s="12"/>
      <c r="AA48" s="12"/>
      <c r="AB48" s="12"/>
    </row>
    <row r="49" spans="1:28" ht="20.100000000000001" customHeight="1" x14ac:dyDescent="0.25">
      <c r="A49" s="6"/>
      <c r="B49" s="7">
        <f>+SUMIFS(Tablo17106121316182022242[SATIŞ TUTARI],Tablo17106121316182022242[TARİH],"&gt;=01/01/2026",Tablo17106121316182022242[TARİH],"&lt;=31/01/2026",Tablo17106121316182022242[MÜŞTERİ ADI],'GİDER İCMAL'!A49)</f>
        <v>0</v>
      </c>
      <c r="C49" s="7">
        <f>+SUMIFS(Tablo17106121316182022242[SATIŞ TUTARI],Tablo17106121316182022242[TARİH],"&gt;=01/02/2026",Tablo17106121316182022242[TARİH],"&lt;=28/02/2026",Tablo17106121316182022242[MÜŞTERİ ADI],'GİDER İCMAL'!A49)</f>
        <v>0</v>
      </c>
      <c r="D49" s="7"/>
      <c r="E49" s="7"/>
      <c r="F49" s="7"/>
      <c r="G49" s="7"/>
      <c r="H49" s="7"/>
      <c r="I49" s="7"/>
      <c r="J49" s="7"/>
      <c r="K49" s="7"/>
      <c r="L49" s="7"/>
      <c r="M49" s="7"/>
      <c r="N49" s="7">
        <f t="shared" si="0"/>
        <v>0</v>
      </c>
      <c r="O49" s="7"/>
      <c r="P49" s="32">
        <f t="shared" si="1"/>
        <v>0</v>
      </c>
      <c r="Q49" s="11"/>
      <c r="R49" s="12"/>
      <c r="S49" s="12"/>
      <c r="T49" s="12"/>
      <c r="U49" s="12"/>
      <c r="V49" s="12"/>
      <c r="W49" s="12"/>
      <c r="X49" s="12"/>
      <c r="Y49" s="12"/>
      <c r="Z49" s="12"/>
      <c r="AA49" s="12"/>
      <c r="AB49" s="12"/>
    </row>
    <row r="50" spans="1:28" ht="20.100000000000001" customHeight="1" x14ac:dyDescent="0.25">
      <c r="A50" s="6"/>
      <c r="B50" s="7">
        <f>+SUMIFS(Tablo17106121316182022242[SATIŞ TUTARI],Tablo17106121316182022242[TARİH],"&gt;=01/01/2026",Tablo17106121316182022242[TARİH],"&lt;=31/01/2026",Tablo17106121316182022242[MÜŞTERİ ADI],'GİDER İCMAL'!A50)</f>
        <v>0</v>
      </c>
      <c r="C50" s="7">
        <f>+SUMIFS(Tablo17106121316182022242[SATIŞ TUTARI],Tablo17106121316182022242[TARİH],"&gt;=01/02/2026",Tablo17106121316182022242[TARİH],"&lt;=28/02/2026",Tablo17106121316182022242[MÜŞTERİ ADI],'GİDER İCMAL'!A50)</f>
        <v>0</v>
      </c>
      <c r="D50" s="7"/>
      <c r="E50" s="7"/>
      <c r="F50" s="7"/>
      <c r="G50" s="7"/>
      <c r="H50" s="7"/>
      <c r="I50" s="7"/>
      <c r="J50" s="7"/>
      <c r="K50" s="7"/>
      <c r="L50" s="7"/>
      <c r="M50" s="7"/>
      <c r="N50" s="7">
        <f t="shared" si="0"/>
        <v>0</v>
      </c>
      <c r="O50" s="7"/>
      <c r="P50" s="32">
        <f t="shared" si="1"/>
        <v>0</v>
      </c>
      <c r="Q50" s="11"/>
      <c r="R50" s="12"/>
      <c r="S50" s="12"/>
      <c r="T50" s="12"/>
      <c r="U50" s="12"/>
      <c r="V50" s="12"/>
      <c r="W50" s="12"/>
      <c r="X50" s="12"/>
      <c r="Y50" s="12"/>
      <c r="Z50" s="12"/>
      <c r="AA50" s="12"/>
      <c r="AB50" s="12"/>
    </row>
    <row r="51" spans="1:28" ht="20.100000000000001" customHeight="1" x14ac:dyDescent="0.25">
      <c r="A51" s="6"/>
      <c r="B51" s="7">
        <f>+SUMIFS(Tablo17106121316182022242[SATIŞ TUTARI],Tablo17106121316182022242[TARİH],"&gt;=01/01/2026",Tablo17106121316182022242[TARİH],"&lt;=31/01/2026",Tablo17106121316182022242[MÜŞTERİ ADI],'GİDER İCMAL'!A51)</f>
        <v>0</v>
      </c>
      <c r="C51" s="7">
        <f>+SUMIFS(Tablo17106121316182022242[SATIŞ TUTARI],Tablo17106121316182022242[TARİH],"&gt;=01/02/2026",Tablo17106121316182022242[TARİH],"&lt;=28/02/2026",Tablo17106121316182022242[MÜŞTERİ ADI],'GİDER İCMAL'!A51)</f>
        <v>0</v>
      </c>
      <c r="D51" s="7"/>
      <c r="E51" s="7"/>
      <c r="F51" s="7"/>
      <c r="G51" s="7"/>
      <c r="H51" s="7"/>
      <c r="I51" s="7"/>
      <c r="J51" s="7"/>
      <c r="K51" s="7"/>
      <c r="L51" s="7"/>
      <c r="M51" s="7"/>
      <c r="N51" s="7">
        <f t="shared" si="0"/>
        <v>0</v>
      </c>
      <c r="O51" s="7"/>
      <c r="P51" s="32">
        <f t="shared" si="1"/>
        <v>0</v>
      </c>
      <c r="Q51" s="11"/>
      <c r="R51" s="12"/>
      <c r="S51" s="12"/>
      <c r="T51" s="12"/>
      <c r="U51" s="12"/>
      <c r="V51" s="12"/>
      <c r="W51" s="12"/>
      <c r="X51" s="12"/>
      <c r="Y51" s="12"/>
      <c r="Z51" s="12"/>
      <c r="AA51" s="12"/>
      <c r="AB51" s="12"/>
    </row>
    <row r="52" spans="1:28" ht="20.100000000000001" customHeight="1" x14ac:dyDescent="0.25">
      <c r="A52" s="6"/>
      <c r="B52" s="7">
        <f>+SUMIFS(Tablo17106121316182022242[SATIŞ TUTARI],Tablo17106121316182022242[TARİH],"&gt;=01/01/2026",Tablo17106121316182022242[TARİH],"&lt;=31/01/2026",Tablo17106121316182022242[MÜŞTERİ ADI],'GİDER İCMAL'!A52)</f>
        <v>0</v>
      </c>
      <c r="C52" s="7">
        <f>+SUMIFS(Tablo17106121316182022242[SATIŞ TUTARI],Tablo17106121316182022242[TARİH],"&gt;=01/02/2026",Tablo17106121316182022242[TARİH],"&lt;=28/02/2026",Tablo17106121316182022242[MÜŞTERİ ADI],'GİDER İCMAL'!A52)</f>
        <v>0</v>
      </c>
      <c r="D52" s="7"/>
      <c r="E52" s="7"/>
      <c r="F52" s="7"/>
      <c r="G52" s="7"/>
      <c r="H52" s="7"/>
      <c r="I52" s="7"/>
      <c r="J52" s="7"/>
      <c r="K52" s="7"/>
      <c r="L52" s="7"/>
      <c r="M52" s="7"/>
      <c r="N52" s="7">
        <f t="shared" si="0"/>
        <v>0</v>
      </c>
      <c r="O52" s="7"/>
      <c r="P52" s="32">
        <f t="shared" si="1"/>
        <v>0</v>
      </c>
      <c r="Q52" s="11"/>
      <c r="R52" s="12"/>
      <c r="S52" s="12"/>
      <c r="T52" s="12"/>
      <c r="U52" s="12"/>
      <c r="V52" s="12"/>
      <c r="W52" s="12"/>
      <c r="X52" s="12"/>
      <c r="Y52" s="12"/>
      <c r="Z52" s="12"/>
      <c r="AA52" s="12"/>
      <c r="AB52" s="12"/>
    </row>
    <row r="53" spans="1:28" ht="20.100000000000001" customHeight="1" x14ac:dyDescent="0.25">
      <c r="A53" s="6"/>
      <c r="B53" s="7">
        <f>+SUMIFS(Tablo17106121316182022242[SATIŞ TUTARI],Tablo17106121316182022242[TARİH],"&gt;=01/01/2026",Tablo17106121316182022242[TARİH],"&lt;=31/01/2026",Tablo17106121316182022242[MÜŞTERİ ADI],'GİDER İCMAL'!A53)</f>
        <v>0</v>
      </c>
      <c r="C53" s="7">
        <f>+SUMIFS(Tablo17106121316182022242[SATIŞ TUTARI],Tablo17106121316182022242[TARİH],"&gt;=01/02/2026",Tablo17106121316182022242[TARİH],"&lt;=28/02/2026",Tablo17106121316182022242[MÜŞTERİ ADI],'GİDER İCMAL'!A53)</f>
        <v>0</v>
      </c>
      <c r="D53" s="7"/>
      <c r="E53" s="7"/>
      <c r="F53" s="7"/>
      <c r="G53" s="7"/>
      <c r="H53" s="7"/>
      <c r="I53" s="7"/>
      <c r="J53" s="7"/>
      <c r="K53" s="7"/>
      <c r="L53" s="7"/>
      <c r="M53" s="7"/>
      <c r="N53" s="7">
        <f t="shared" si="0"/>
        <v>0</v>
      </c>
      <c r="O53" s="7"/>
      <c r="P53" s="32">
        <f t="shared" si="1"/>
        <v>0</v>
      </c>
      <c r="Q53" s="11"/>
      <c r="R53" s="12"/>
      <c r="S53" s="12"/>
      <c r="T53" s="12"/>
      <c r="U53" s="12"/>
      <c r="V53" s="12"/>
      <c r="W53" s="12"/>
      <c r="X53" s="12"/>
      <c r="Y53" s="12"/>
      <c r="Z53" s="12"/>
      <c r="AA53" s="12"/>
      <c r="AB53" s="12"/>
    </row>
    <row r="54" spans="1:28" ht="20.100000000000001" customHeight="1" x14ac:dyDescent="0.25">
      <c r="A54" s="6"/>
      <c r="B54" s="7">
        <f>+SUMIFS(Tablo17106121316182022242[SATIŞ TUTARI],Tablo17106121316182022242[TARİH],"&gt;=01/01/2026",Tablo17106121316182022242[TARİH],"&lt;=31/01/2026",Tablo17106121316182022242[MÜŞTERİ ADI],'GİDER İCMAL'!A54)</f>
        <v>0</v>
      </c>
      <c r="C54" s="7">
        <f>+SUMIFS(Tablo17106121316182022242[SATIŞ TUTARI],Tablo17106121316182022242[TARİH],"&gt;=01/02/2026",Tablo17106121316182022242[TARİH],"&lt;=28/02/2026",Tablo17106121316182022242[MÜŞTERİ ADI],'GİDER İCMAL'!A54)</f>
        <v>0</v>
      </c>
      <c r="D54" s="7"/>
      <c r="E54" s="7"/>
      <c r="F54" s="7"/>
      <c r="G54" s="7"/>
      <c r="H54" s="7"/>
      <c r="I54" s="7"/>
      <c r="J54" s="7"/>
      <c r="K54" s="7"/>
      <c r="L54" s="7"/>
      <c r="M54" s="7"/>
      <c r="N54" s="7">
        <f t="shared" si="0"/>
        <v>0</v>
      </c>
      <c r="O54" s="7"/>
      <c r="P54" s="32">
        <f t="shared" si="1"/>
        <v>0</v>
      </c>
      <c r="Q54" s="11"/>
      <c r="R54" s="12"/>
      <c r="S54" s="12"/>
      <c r="T54" s="12"/>
      <c r="U54" s="12"/>
      <c r="V54" s="12"/>
      <c r="W54" s="12"/>
      <c r="X54" s="12"/>
      <c r="Y54" s="12"/>
      <c r="Z54" s="12"/>
      <c r="AA54" s="12"/>
      <c r="AB54" s="12"/>
    </row>
    <row r="55" spans="1:28" ht="20.100000000000001" customHeight="1" x14ac:dyDescent="0.25">
      <c r="A55" s="6"/>
      <c r="B55" s="7">
        <f>+SUMIFS(Tablo17106121316182022242[SATIŞ TUTARI],Tablo17106121316182022242[TARİH],"&gt;=01/01/2026",Tablo17106121316182022242[TARİH],"&lt;=31/01/2026",Tablo17106121316182022242[MÜŞTERİ ADI],'GİDER İCMAL'!A55)</f>
        <v>0</v>
      </c>
      <c r="C55" s="7">
        <f>+SUMIFS(Tablo17106121316182022242[SATIŞ TUTARI],Tablo17106121316182022242[TARİH],"&gt;=01/02/2026",Tablo17106121316182022242[TARİH],"&lt;=28/02/2026",Tablo17106121316182022242[MÜŞTERİ ADI],'GİDER İCMAL'!A55)</f>
        <v>0</v>
      </c>
      <c r="D55" s="7"/>
      <c r="E55" s="7"/>
      <c r="F55" s="7"/>
      <c r="G55" s="7"/>
      <c r="H55" s="7"/>
      <c r="I55" s="7"/>
      <c r="J55" s="7"/>
      <c r="K55" s="7"/>
      <c r="L55" s="7"/>
      <c r="M55" s="7"/>
      <c r="N55" s="7">
        <f t="shared" si="0"/>
        <v>0</v>
      </c>
      <c r="O55" s="7"/>
      <c r="P55" s="32">
        <f t="shared" si="1"/>
        <v>0</v>
      </c>
      <c r="Q55" s="11"/>
      <c r="R55" s="12"/>
      <c r="S55" s="12"/>
      <c r="T55" s="12"/>
      <c r="U55" s="12"/>
      <c r="V55" s="12"/>
      <c r="W55" s="12"/>
      <c r="X55" s="12"/>
      <c r="Y55" s="12"/>
      <c r="Z55" s="12"/>
      <c r="AA55" s="12"/>
      <c r="AB55" s="12"/>
    </row>
    <row r="56" spans="1:28" ht="20.100000000000001" customHeight="1" x14ac:dyDescent="0.25">
      <c r="A56" s="6"/>
      <c r="B56" s="7">
        <f>+SUMIFS(Tablo17106121316182022242[SATIŞ TUTARI],Tablo17106121316182022242[TARİH],"&gt;=01/01/2026",Tablo17106121316182022242[TARİH],"&lt;=31/01/2026",Tablo17106121316182022242[MÜŞTERİ ADI],'GİDER İCMAL'!A56)</f>
        <v>0</v>
      </c>
      <c r="C56" s="7">
        <f>+SUMIFS(Tablo17106121316182022242[SATIŞ TUTARI],Tablo17106121316182022242[TARİH],"&gt;=01/02/2026",Tablo17106121316182022242[TARİH],"&lt;=28/02/2026",Tablo17106121316182022242[MÜŞTERİ ADI],'GİDER İCMAL'!A56)</f>
        <v>0</v>
      </c>
      <c r="D56" s="7"/>
      <c r="E56" s="7"/>
      <c r="F56" s="7"/>
      <c r="G56" s="7"/>
      <c r="H56" s="7"/>
      <c r="I56" s="7"/>
      <c r="J56" s="7"/>
      <c r="K56" s="7"/>
      <c r="L56" s="7"/>
      <c r="M56" s="7"/>
      <c r="N56" s="7">
        <f t="shared" si="0"/>
        <v>0</v>
      </c>
      <c r="O56" s="7"/>
      <c r="P56" s="32">
        <f t="shared" si="1"/>
        <v>0</v>
      </c>
      <c r="Q56" s="11"/>
      <c r="R56" s="12"/>
      <c r="S56" s="12"/>
      <c r="T56" s="12"/>
      <c r="U56" s="12"/>
      <c r="V56" s="12"/>
      <c r="W56" s="12"/>
      <c r="X56" s="12"/>
      <c r="Y56" s="12"/>
      <c r="Z56" s="12"/>
      <c r="AA56" s="12"/>
      <c r="AB56" s="12"/>
    </row>
    <row r="57" spans="1:28" ht="20.100000000000001" customHeight="1" x14ac:dyDescent="0.25">
      <c r="A57" s="6"/>
      <c r="B57" s="7">
        <f>+SUMIFS(Tablo17106121316182022242[SATIŞ TUTARI],Tablo17106121316182022242[TARİH],"&gt;=01/01/2026",Tablo17106121316182022242[TARİH],"&lt;=31/01/2026",Tablo17106121316182022242[MÜŞTERİ ADI],'GİDER İCMAL'!A57)</f>
        <v>0</v>
      </c>
      <c r="C57" s="7">
        <f>+SUMIFS(Tablo17106121316182022242[SATIŞ TUTARI],Tablo17106121316182022242[TARİH],"&gt;=01/02/2026",Tablo17106121316182022242[TARİH],"&lt;=28/02/2026",Tablo17106121316182022242[MÜŞTERİ ADI],'GİDER İCMAL'!A57)</f>
        <v>0</v>
      </c>
      <c r="D57" s="7"/>
      <c r="E57" s="7"/>
      <c r="F57" s="7"/>
      <c r="G57" s="7"/>
      <c r="H57" s="7"/>
      <c r="I57" s="7"/>
      <c r="J57" s="7"/>
      <c r="K57" s="7"/>
      <c r="L57" s="7"/>
      <c r="M57" s="7"/>
      <c r="N57" s="7">
        <f t="shared" si="0"/>
        <v>0</v>
      </c>
      <c r="O57" s="7"/>
      <c r="P57" s="32">
        <f t="shared" si="1"/>
        <v>0</v>
      </c>
      <c r="Q57" s="11"/>
      <c r="R57" s="12"/>
      <c r="S57" s="12"/>
      <c r="T57" s="12"/>
      <c r="U57" s="12"/>
      <c r="V57" s="12"/>
      <c r="W57" s="12"/>
      <c r="X57" s="12"/>
      <c r="Y57" s="12"/>
      <c r="Z57" s="12"/>
      <c r="AA57" s="12"/>
      <c r="AB57" s="12"/>
    </row>
    <row r="58" spans="1:28" ht="20.100000000000001" customHeight="1" x14ac:dyDescent="0.25">
      <c r="A58" s="6"/>
      <c r="B58" s="7">
        <f>+SUMIFS(Tablo17106121316182022242[SATIŞ TUTARI],Tablo17106121316182022242[TARİH],"&gt;=01/01/2026",Tablo17106121316182022242[TARİH],"&lt;=31/01/2026",Tablo17106121316182022242[MÜŞTERİ ADI],'GİDER İCMAL'!A58)</f>
        <v>0</v>
      </c>
      <c r="C58" s="7">
        <f>+SUMIFS(Tablo17106121316182022242[SATIŞ TUTARI],Tablo17106121316182022242[TARİH],"&gt;=01/02/2026",Tablo17106121316182022242[TARİH],"&lt;=28/02/2026",Tablo17106121316182022242[MÜŞTERİ ADI],'GİDER İCMAL'!A58)</f>
        <v>0</v>
      </c>
      <c r="D58" s="7"/>
      <c r="E58" s="7"/>
      <c r="F58" s="7"/>
      <c r="G58" s="7"/>
      <c r="H58" s="7"/>
      <c r="I58" s="7"/>
      <c r="J58" s="7"/>
      <c r="K58" s="7"/>
      <c r="L58" s="7"/>
      <c r="M58" s="7"/>
      <c r="N58" s="7">
        <f t="shared" si="0"/>
        <v>0</v>
      </c>
      <c r="O58" s="7"/>
      <c r="P58" s="32">
        <f t="shared" si="1"/>
        <v>0</v>
      </c>
      <c r="Q58" s="11"/>
      <c r="R58" s="12"/>
      <c r="S58" s="12"/>
      <c r="T58" s="12"/>
      <c r="U58" s="12"/>
      <c r="V58" s="12"/>
      <c r="W58" s="12"/>
      <c r="X58" s="12"/>
      <c r="Y58" s="12"/>
      <c r="Z58" s="12"/>
      <c r="AA58" s="12"/>
      <c r="AB58" s="12"/>
    </row>
    <row r="59" spans="1:28" ht="20.100000000000001" customHeight="1" x14ac:dyDescent="0.25">
      <c r="A59" s="6"/>
      <c r="B59" s="7">
        <f>+SUMIFS(Tablo17106121316182022242[SATIŞ TUTARI],Tablo17106121316182022242[TARİH],"&gt;=01/01/2026",Tablo17106121316182022242[TARİH],"&lt;=31/01/2026",Tablo17106121316182022242[MÜŞTERİ ADI],'GİDER İCMAL'!A59)</f>
        <v>0</v>
      </c>
      <c r="C59" s="7">
        <f>+SUMIFS(Tablo17106121316182022242[SATIŞ TUTARI],Tablo17106121316182022242[TARİH],"&gt;=01/02/2026",Tablo17106121316182022242[TARİH],"&lt;=28/02/2026",Tablo17106121316182022242[MÜŞTERİ ADI],'GİDER İCMAL'!A59)</f>
        <v>0</v>
      </c>
      <c r="D59" s="7"/>
      <c r="E59" s="7"/>
      <c r="F59" s="7"/>
      <c r="G59" s="7"/>
      <c r="H59" s="7"/>
      <c r="I59" s="7"/>
      <c r="J59" s="7"/>
      <c r="K59" s="7"/>
      <c r="L59" s="7"/>
      <c r="M59" s="7"/>
      <c r="N59" s="7">
        <f t="shared" si="0"/>
        <v>0</v>
      </c>
      <c r="O59" s="7"/>
      <c r="P59" s="32">
        <f t="shared" si="1"/>
        <v>0</v>
      </c>
      <c r="Q59" s="11"/>
      <c r="R59" s="12"/>
      <c r="S59" s="12"/>
      <c r="T59" s="12"/>
      <c r="U59" s="12"/>
      <c r="V59" s="12"/>
      <c r="W59" s="12"/>
      <c r="X59" s="12"/>
      <c r="Y59" s="12"/>
      <c r="Z59" s="12"/>
      <c r="AA59" s="12"/>
      <c r="AB59" s="12"/>
    </row>
    <row r="60" spans="1:28" ht="20.100000000000001" customHeight="1" x14ac:dyDescent="0.25">
      <c r="A60" s="6"/>
      <c r="B60" s="7">
        <f>+SUMIFS(Tablo17106121316182022242[SATIŞ TUTARI],Tablo17106121316182022242[TARİH],"&gt;=01/01/2026",Tablo17106121316182022242[TARİH],"&lt;=31/01/2026",Tablo17106121316182022242[MÜŞTERİ ADI],'GİDER İCMAL'!A60)</f>
        <v>0</v>
      </c>
      <c r="C60" s="7">
        <f>+SUMIFS(Tablo17106121316182022242[SATIŞ TUTARI],Tablo17106121316182022242[TARİH],"&gt;=01/02/2026",Tablo17106121316182022242[TARİH],"&lt;=28/02/2026",Tablo17106121316182022242[MÜŞTERİ ADI],'GİDER İCMAL'!A60)</f>
        <v>0</v>
      </c>
      <c r="D60" s="7"/>
      <c r="E60" s="7"/>
      <c r="F60" s="7"/>
      <c r="G60" s="7"/>
      <c r="H60" s="7"/>
      <c r="I60" s="7"/>
      <c r="J60" s="7"/>
      <c r="K60" s="7"/>
      <c r="L60" s="7"/>
      <c r="M60" s="7"/>
      <c r="N60" s="7">
        <f t="shared" si="0"/>
        <v>0</v>
      </c>
      <c r="O60" s="7"/>
      <c r="P60" s="32">
        <f t="shared" si="1"/>
        <v>0</v>
      </c>
      <c r="Q60" s="11"/>
      <c r="R60" s="12"/>
      <c r="S60" s="12"/>
      <c r="T60" s="12"/>
      <c r="U60" s="12"/>
      <c r="V60" s="12"/>
      <c r="W60" s="12"/>
      <c r="X60" s="12"/>
      <c r="Y60" s="12"/>
      <c r="Z60" s="12"/>
      <c r="AA60" s="12"/>
      <c r="AB60" s="12"/>
    </row>
    <row r="61" spans="1:28" ht="20.100000000000001" customHeight="1" x14ac:dyDescent="0.25">
      <c r="A61" s="6"/>
      <c r="B61" s="7">
        <f>+SUMIFS(Tablo17106121316182022242[SATIŞ TUTARI],Tablo17106121316182022242[TARİH],"&gt;=01/01/2026",Tablo17106121316182022242[TARİH],"&lt;=31/01/2026",Tablo17106121316182022242[MÜŞTERİ ADI],'GİDER İCMAL'!A61)</f>
        <v>0</v>
      </c>
      <c r="C61" s="7">
        <f>+SUMIFS(Tablo17106121316182022242[SATIŞ TUTARI],Tablo17106121316182022242[TARİH],"&gt;=01/02/2026",Tablo17106121316182022242[TARİH],"&lt;=28/02/2026",Tablo17106121316182022242[MÜŞTERİ ADI],'GİDER İCMAL'!A61)</f>
        <v>0</v>
      </c>
      <c r="D61" s="7"/>
      <c r="E61" s="7"/>
      <c r="F61" s="7"/>
      <c r="G61" s="7"/>
      <c r="H61" s="7"/>
      <c r="I61" s="7"/>
      <c r="J61" s="7"/>
      <c r="K61" s="7"/>
      <c r="L61" s="7"/>
      <c r="M61" s="7"/>
      <c r="N61" s="7">
        <f t="shared" si="0"/>
        <v>0</v>
      </c>
      <c r="O61" s="7"/>
      <c r="P61" s="32">
        <f t="shared" si="1"/>
        <v>0</v>
      </c>
      <c r="Q61" s="11"/>
      <c r="R61" s="12"/>
      <c r="S61" s="12"/>
      <c r="T61" s="12"/>
      <c r="U61" s="12"/>
      <c r="V61" s="12"/>
      <c r="W61" s="12"/>
      <c r="X61" s="12"/>
      <c r="Y61" s="12"/>
      <c r="Z61" s="12"/>
      <c r="AA61" s="12"/>
      <c r="AB61" s="12"/>
    </row>
    <row r="62" spans="1:28" ht="20.100000000000001" customHeight="1" x14ac:dyDescent="0.25">
      <c r="A62" s="6"/>
      <c r="B62" s="7">
        <f>+SUMIFS(Tablo17106121316182022242[SATIŞ TUTARI],Tablo17106121316182022242[TARİH],"&gt;=01/01/2026",Tablo17106121316182022242[TARİH],"&lt;=31/01/2026",Tablo17106121316182022242[MÜŞTERİ ADI],'GİDER İCMAL'!A62)</f>
        <v>0</v>
      </c>
      <c r="C62" s="7">
        <f>+SUMIFS(Tablo17106121316182022242[SATIŞ TUTARI],Tablo17106121316182022242[TARİH],"&gt;=01/02/2026",Tablo17106121316182022242[TARİH],"&lt;=28/02/2026",Tablo17106121316182022242[MÜŞTERİ ADI],'GİDER İCMAL'!A62)</f>
        <v>0</v>
      </c>
      <c r="D62" s="7"/>
      <c r="E62" s="7"/>
      <c r="F62" s="7"/>
      <c r="G62" s="7"/>
      <c r="H62" s="7"/>
      <c r="I62" s="7"/>
      <c r="J62" s="7"/>
      <c r="K62" s="7"/>
      <c r="L62" s="7"/>
      <c r="M62" s="7"/>
      <c r="N62" s="7">
        <f t="shared" si="0"/>
        <v>0</v>
      </c>
      <c r="O62" s="7"/>
      <c r="P62" s="32">
        <f t="shared" si="1"/>
        <v>0</v>
      </c>
      <c r="Q62" s="11"/>
      <c r="R62" s="12"/>
      <c r="S62" s="12"/>
      <c r="T62" s="12"/>
      <c r="U62" s="12"/>
      <c r="V62" s="12"/>
      <c r="W62" s="12"/>
      <c r="X62" s="12"/>
      <c r="Y62" s="12"/>
      <c r="Z62" s="12"/>
      <c r="AA62" s="12"/>
      <c r="AB62" s="12"/>
    </row>
    <row r="63" spans="1:28" ht="20.100000000000001" customHeight="1" x14ac:dyDescent="0.25">
      <c r="A63" s="6"/>
      <c r="B63" s="7">
        <f>+SUMIFS(Tablo17106121316182022242[SATIŞ TUTARI],Tablo17106121316182022242[TARİH],"&gt;=01/01/2026",Tablo17106121316182022242[TARİH],"&lt;=31/01/2026",Tablo17106121316182022242[MÜŞTERİ ADI],'GİDER İCMAL'!A63)</f>
        <v>0</v>
      </c>
      <c r="C63" s="7">
        <f>+SUMIFS(Tablo17106121316182022242[SATIŞ TUTARI],Tablo17106121316182022242[TARİH],"&gt;=01/02/2026",Tablo17106121316182022242[TARİH],"&lt;=28/02/2026",Tablo17106121316182022242[MÜŞTERİ ADI],'GİDER İCMAL'!A63)</f>
        <v>0</v>
      </c>
      <c r="D63" s="7"/>
      <c r="E63" s="7"/>
      <c r="F63" s="7"/>
      <c r="G63" s="7"/>
      <c r="H63" s="7"/>
      <c r="I63" s="7"/>
      <c r="J63" s="7"/>
      <c r="K63" s="7"/>
      <c r="L63" s="7"/>
      <c r="M63" s="7"/>
      <c r="N63" s="7">
        <f t="shared" si="0"/>
        <v>0</v>
      </c>
      <c r="O63" s="7"/>
      <c r="P63" s="32">
        <f t="shared" si="1"/>
        <v>0</v>
      </c>
      <c r="Q63" s="11"/>
      <c r="R63" s="12"/>
      <c r="S63" s="12"/>
      <c r="T63" s="12"/>
      <c r="U63" s="12"/>
      <c r="V63" s="12"/>
      <c r="W63" s="12"/>
      <c r="X63" s="12"/>
      <c r="Y63" s="12"/>
      <c r="Z63" s="12"/>
      <c r="AA63" s="12"/>
      <c r="AB63" s="12"/>
    </row>
    <row r="64" spans="1:28" ht="20.100000000000001" customHeight="1" x14ac:dyDescent="0.25">
      <c r="A64" s="6"/>
      <c r="B64" s="7">
        <f>+SUMIFS(Tablo17106121316182022242[SATIŞ TUTARI],Tablo17106121316182022242[TARİH],"&gt;=01/01/2026",Tablo17106121316182022242[TARİH],"&lt;=31/01/2026",Tablo17106121316182022242[MÜŞTERİ ADI],'GİDER İCMAL'!A64)</f>
        <v>0</v>
      </c>
      <c r="C64" s="7">
        <f>+SUMIFS(Tablo17106121316182022242[SATIŞ TUTARI],Tablo17106121316182022242[TARİH],"&gt;=01/02/2026",Tablo17106121316182022242[TARİH],"&lt;=28/02/2026",Tablo17106121316182022242[MÜŞTERİ ADI],'GİDER İCMAL'!A64)</f>
        <v>0</v>
      </c>
      <c r="D64" s="7"/>
      <c r="E64" s="7"/>
      <c r="F64" s="7"/>
      <c r="G64" s="7"/>
      <c r="H64" s="7"/>
      <c r="I64" s="7"/>
      <c r="J64" s="7"/>
      <c r="K64" s="7"/>
      <c r="L64" s="7"/>
      <c r="M64" s="7"/>
      <c r="N64" s="7">
        <f t="shared" si="0"/>
        <v>0</v>
      </c>
      <c r="O64" s="7"/>
      <c r="P64" s="32">
        <f t="shared" si="1"/>
        <v>0</v>
      </c>
      <c r="Q64" s="11"/>
      <c r="R64" s="12"/>
      <c r="S64" s="12"/>
      <c r="T64" s="12"/>
      <c r="U64" s="12"/>
      <c r="V64" s="12"/>
      <c r="W64" s="12"/>
      <c r="X64" s="12"/>
      <c r="Y64" s="12"/>
      <c r="Z64" s="12"/>
      <c r="AA64" s="12"/>
      <c r="AB64" s="12"/>
    </row>
    <row r="65" spans="1:28" ht="20.100000000000001" customHeight="1" x14ac:dyDescent="0.25">
      <c r="A65" s="6"/>
      <c r="B65" s="7">
        <f>+SUMIFS(Tablo17106121316182022242[SATIŞ TUTARI],Tablo17106121316182022242[TARİH],"&gt;=01/01/2026",Tablo17106121316182022242[TARİH],"&lt;=31/01/2026",Tablo17106121316182022242[MÜŞTERİ ADI],'GİDER İCMAL'!A65)</f>
        <v>0</v>
      </c>
      <c r="C65" s="7">
        <f>+SUMIFS(Tablo17106121316182022242[SATIŞ TUTARI],Tablo17106121316182022242[TARİH],"&gt;=01/02/2026",Tablo17106121316182022242[TARİH],"&lt;=28/02/2026",Tablo17106121316182022242[MÜŞTERİ ADI],'GİDER İCMAL'!A65)</f>
        <v>0</v>
      </c>
      <c r="D65" s="7"/>
      <c r="E65" s="7"/>
      <c r="F65" s="7"/>
      <c r="G65" s="7"/>
      <c r="H65" s="7"/>
      <c r="I65" s="7"/>
      <c r="J65" s="7"/>
      <c r="K65" s="7"/>
      <c r="L65" s="7"/>
      <c r="M65" s="7"/>
      <c r="N65" s="7">
        <f t="shared" si="0"/>
        <v>0</v>
      </c>
      <c r="O65" s="7"/>
      <c r="P65" s="32">
        <f t="shared" si="1"/>
        <v>0</v>
      </c>
      <c r="Q65" s="11"/>
      <c r="R65" s="12"/>
      <c r="S65" s="12"/>
      <c r="T65" s="12"/>
      <c r="U65" s="12"/>
      <c r="V65" s="12"/>
      <c r="W65" s="12"/>
      <c r="X65" s="12"/>
      <c r="Y65" s="12"/>
      <c r="Z65" s="12"/>
      <c r="AA65" s="12"/>
      <c r="AB65" s="12"/>
    </row>
    <row r="66" spans="1:28" ht="20.100000000000001" customHeight="1" x14ac:dyDescent="0.25">
      <c r="A66" s="6"/>
      <c r="B66" s="7">
        <f>+SUMIFS(Tablo17106121316182022242[SATIŞ TUTARI],Tablo17106121316182022242[TARİH],"&gt;=01/01/2026",Tablo17106121316182022242[TARİH],"&lt;=31/01/2026",Tablo17106121316182022242[MÜŞTERİ ADI],'GİDER İCMAL'!A66)</f>
        <v>0</v>
      </c>
      <c r="C66" s="7">
        <f>+SUMIFS(Tablo17106121316182022242[SATIŞ TUTARI],Tablo17106121316182022242[TARİH],"&gt;=01/02/2026",Tablo17106121316182022242[TARİH],"&lt;=28/02/2026",Tablo17106121316182022242[MÜŞTERİ ADI],'GİDER İCMAL'!A66)</f>
        <v>0</v>
      </c>
      <c r="D66" s="7"/>
      <c r="E66" s="7"/>
      <c r="F66" s="7"/>
      <c r="G66" s="7"/>
      <c r="H66" s="7"/>
      <c r="I66" s="7"/>
      <c r="J66" s="7"/>
      <c r="K66" s="7"/>
      <c r="L66" s="7"/>
      <c r="M66" s="7"/>
      <c r="N66" s="7">
        <f t="shared" si="0"/>
        <v>0</v>
      </c>
      <c r="O66" s="7"/>
      <c r="P66" s="32">
        <f t="shared" si="1"/>
        <v>0</v>
      </c>
      <c r="Q66" s="11"/>
      <c r="R66" s="12"/>
      <c r="S66" s="12"/>
      <c r="T66" s="12"/>
      <c r="U66" s="12"/>
      <c r="V66" s="12"/>
      <c r="W66" s="12"/>
      <c r="X66" s="12"/>
      <c r="Y66" s="12"/>
      <c r="Z66" s="12"/>
      <c r="AA66" s="12"/>
      <c r="AB66" s="12"/>
    </row>
    <row r="67" spans="1:28" ht="20.100000000000001" customHeight="1" x14ac:dyDescent="0.25">
      <c r="A67" s="6"/>
      <c r="B67" s="7">
        <f>+SUMIFS(Tablo17106121316182022242[SATIŞ TUTARI],Tablo17106121316182022242[TARİH],"&gt;=01/01/2026",Tablo17106121316182022242[TARİH],"&lt;=31/01/2026",Tablo17106121316182022242[MÜŞTERİ ADI],'GİDER İCMAL'!A67)</f>
        <v>0</v>
      </c>
      <c r="C67" s="7">
        <f>+SUMIFS(Tablo17106121316182022242[SATIŞ TUTARI],Tablo17106121316182022242[TARİH],"&gt;=01/02/2026",Tablo17106121316182022242[TARİH],"&lt;=28/02/2026",Tablo17106121316182022242[MÜŞTERİ ADI],'GİDER İCMAL'!A67)</f>
        <v>0</v>
      </c>
      <c r="D67" s="7"/>
      <c r="E67" s="7"/>
      <c r="F67" s="7"/>
      <c r="G67" s="7"/>
      <c r="H67" s="7"/>
      <c r="I67" s="7"/>
      <c r="J67" s="7"/>
      <c r="K67" s="7"/>
      <c r="L67" s="7"/>
      <c r="M67" s="7"/>
      <c r="N67" s="7">
        <f t="shared" ref="N67:N121" si="2">+SUM(B67:M67)</f>
        <v>0</v>
      </c>
      <c r="O67" s="7"/>
      <c r="P67" s="32">
        <f t="shared" si="1"/>
        <v>0</v>
      </c>
      <c r="Q67" s="11"/>
      <c r="R67" s="12"/>
      <c r="S67" s="12"/>
      <c r="T67" s="12"/>
      <c r="U67" s="12"/>
      <c r="V67" s="12"/>
      <c r="W67" s="12"/>
      <c r="X67" s="12"/>
      <c r="Y67" s="12"/>
      <c r="Z67" s="12"/>
      <c r="AA67" s="12"/>
      <c r="AB67" s="12"/>
    </row>
    <row r="68" spans="1:28" ht="20.100000000000001" customHeight="1" x14ac:dyDescent="0.25">
      <c r="A68" s="6"/>
      <c r="B68" s="7">
        <f>+SUMIFS(Tablo17106121316182022242[SATIŞ TUTARI],Tablo17106121316182022242[TARİH],"&gt;=01/01/2026",Tablo17106121316182022242[TARİH],"&lt;=31/01/2026",Tablo17106121316182022242[MÜŞTERİ ADI],'GİDER İCMAL'!A68)</f>
        <v>0</v>
      </c>
      <c r="C68" s="7">
        <f>+SUMIFS(Tablo17106121316182022242[SATIŞ TUTARI],Tablo17106121316182022242[TARİH],"&gt;=01/02/2026",Tablo17106121316182022242[TARİH],"&lt;=28/02/2026",Tablo17106121316182022242[MÜŞTERİ ADI],'GİDER İCMAL'!A68)</f>
        <v>0</v>
      </c>
      <c r="D68" s="7"/>
      <c r="E68" s="7"/>
      <c r="F68" s="7"/>
      <c r="G68" s="7"/>
      <c r="H68" s="7"/>
      <c r="I68" s="7"/>
      <c r="J68" s="7"/>
      <c r="K68" s="7"/>
      <c r="L68" s="7"/>
      <c r="M68" s="7"/>
      <c r="N68" s="7">
        <f t="shared" si="2"/>
        <v>0</v>
      </c>
      <c r="O68" s="7"/>
      <c r="P68" s="32">
        <f t="shared" ref="P68:P121" si="3">+N68-O68</f>
        <v>0</v>
      </c>
      <c r="Q68" s="11"/>
      <c r="R68" s="12"/>
      <c r="S68" s="12"/>
      <c r="T68" s="12"/>
      <c r="U68" s="12"/>
      <c r="V68" s="12"/>
      <c r="W68" s="12"/>
      <c r="X68" s="12"/>
      <c r="Y68" s="12"/>
      <c r="Z68" s="12"/>
      <c r="AA68" s="12"/>
      <c r="AB68" s="12"/>
    </row>
    <row r="69" spans="1:28" ht="20.100000000000001" customHeight="1" x14ac:dyDescent="0.25">
      <c r="A69" s="6"/>
      <c r="B69" s="7">
        <f>+SUMIFS(Tablo17106121316182022242[SATIŞ TUTARI],Tablo17106121316182022242[TARİH],"&gt;=01/01/2026",Tablo17106121316182022242[TARİH],"&lt;=31/01/2026",Tablo17106121316182022242[MÜŞTERİ ADI],'GİDER İCMAL'!A69)</f>
        <v>0</v>
      </c>
      <c r="C69" s="7">
        <f>+SUMIFS(Tablo17106121316182022242[SATIŞ TUTARI],Tablo17106121316182022242[TARİH],"&gt;=01/02/2026",Tablo17106121316182022242[TARİH],"&lt;=28/02/2026",Tablo17106121316182022242[MÜŞTERİ ADI],'GİDER İCMAL'!A69)</f>
        <v>0</v>
      </c>
      <c r="D69" s="7"/>
      <c r="E69" s="7"/>
      <c r="F69" s="7"/>
      <c r="G69" s="7"/>
      <c r="H69" s="7"/>
      <c r="I69" s="7"/>
      <c r="J69" s="7"/>
      <c r="K69" s="7"/>
      <c r="L69" s="7"/>
      <c r="M69" s="7"/>
      <c r="N69" s="7">
        <f t="shared" si="2"/>
        <v>0</v>
      </c>
      <c r="O69" s="7"/>
      <c r="P69" s="32">
        <f t="shared" si="3"/>
        <v>0</v>
      </c>
      <c r="Q69" s="11"/>
      <c r="R69" s="12"/>
      <c r="S69" s="12"/>
      <c r="T69" s="12"/>
      <c r="U69" s="12"/>
      <c r="V69" s="12"/>
      <c r="W69" s="12"/>
      <c r="X69" s="12"/>
      <c r="Y69" s="12"/>
      <c r="Z69" s="12"/>
      <c r="AA69" s="12"/>
      <c r="AB69" s="12"/>
    </row>
    <row r="70" spans="1:28" ht="20.100000000000001" customHeight="1" x14ac:dyDescent="0.25">
      <c r="A70" s="6"/>
      <c r="B70" s="7">
        <f>+SUMIFS(Tablo17106121316182022242[SATIŞ TUTARI],Tablo17106121316182022242[TARİH],"&gt;=01/01/2026",Tablo17106121316182022242[TARİH],"&lt;=31/01/2026",Tablo17106121316182022242[MÜŞTERİ ADI],'GİDER İCMAL'!A70)</f>
        <v>0</v>
      </c>
      <c r="C70" s="7">
        <f>+SUMIFS(Tablo17106121316182022242[SATIŞ TUTARI],Tablo17106121316182022242[TARİH],"&gt;=01/02/2026",Tablo17106121316182022242[TARİH],"&lt;=28/02/2026",Tablo17106121316182022242[MÜŞTERİ ADI],'GİDER İCMAL'!A70)</f>
        <v>0</v>
      </c>
      <c r="D70" s="7"/>
      <c r="E70" s="7"/>
      <c r="F70" s="7"/>
      <c r="G70" s="7"/>
      <c r="H70" s="7"/>
      <c r="I70" s="7"/>
      <c r="J70" s="7"/>
      <c r="K70" s="7"/>
      <c r="L70" s="7"/>
      <c r="M70" s="7"/>
      <c r="N70" s="7">
        <f t="shared" si="2"/>
        <v>0</v>
      </c>
      <c r="O70" s="7"/>
      <c r="P70" s="32">
        <f t="shared" si="3"/>
        <v>0</v>
      </c>
      <c r="Q70" s="11"/>
      <c r="R70" s="12"/>
      <c r="S70" s="12"/>
      <c r="T70" s="12"/>
      <c r="U70" s="12"/>
      <c r="V70" s="12"/>
      <c r="W70" s="12"/>
      <c r="X70" s="12"/>
      <c r="Y70" s="12"/>
      <c r="Z70" s="12"/>
      <c r="AA70" s="12"/>
      <c r="AB70" s="12"/>
    </row>
    <row r="71" spans="1:28" ht="20.100000000000001" customHeight="1" x14ac:dyDescent="0.25">
      <c r="A71" s="6"/>
      <c r="B71" s="7">
        <f>+SUMIFS(Tablo17106121316182022242[SATIŞ TUTARI],Tablo17106121316182022242[TARİH],"&gt;=01/01/2026",Tablo17106121316182022242[TARİH],"&lt;=31/01/2026",Tablo17106121316182022242[MÜŞTERİ ADI],'GİDER İCMAL'!A71)</f>
        <v>0</v>
      </c>
      <c r="C71" s="7">
        <f>+SUMIFS(Tablo17106121316182022242[SATIŞ TUTARI],Tablo17106121316182022242[TARİH],"&gt;=01/02/2026",Tablo17106121316182022242[TARİH],"&lt;=28/02/2026",Tablo17106121316182022242[MÜŞTERİ ADI],'GİDER İCMAL'!A71)</f>
        <v>0</v>
      </c>
      <c r="D71" s="7"/>
      <c r="E71" s="7"/>
      <c r="F71" s="7"/>
      <c r="G71" s="7"/>
      <c r="H71" s="7"/>
      <c r="I71" s="7"/>
      <c r="J71" s="7"/>
      <c r="K71" s="7"/>
      <c r="L71" s="7"/>
      <c r="M71" s="7"/>
      <c r="N71" s="7">
        <f t="shared" si="2"/>
        <v>0</v>
      </c>
      <c r="O71" s="7"/>
      <c r="P71" s="32">
        <f t="shared" si="3"/>
        <v>0</v>
      </c>
      <c r="Q71" s="11"/>
      <c r="R71" s="12"/>
      <c r="S71" s="12"/>
      <c r="T71" s="12"/>
      <c r="U71" s="12"/>
      <c r="V71" s="12"/>
      <c r="W71" s="12"/>
      <c r="X71" s="12"/>
      <c r="Y71" s="12"/>
      <c r="Z71" s="12"/>
      <c r="AA71" s="12"/>
      <c r="AB71" s="12"/>
    </row>
    <row r="72" spans="1:28" ht="20.100000000000001" customHeight="1" x14ac:dyDescent="0.25">
      <c r="A72" s="6"/>
      <c r="B72" s="7">
        <f>+SUMIFS(Tablo17106121316182022242[SATIŞ TUTARI],Tablo17106121316182022242[TARİH],"&gt;=01/01/2026",Tablo17106121316182022242[TARİH],"&lt;=31/01/2026",Tablo17106121316182022242[MÜŞTERİ ADI],'GİDER İCMAL'!A72)</f>
        <v>0</v>
      </c>
      <c r="C72" s="7">
        <f>+SUMIFS(Tablo17106121316182022242[SATIŞ TUTARI],Tablo17106121316182022242[TARİH],"&gt;=01/02/2026",Tablo17106121316182022242[TARİH],"&lt;=28/02/2026",Tablo17106121316182022242[MÜŞTERİ ADI],'GİDER İCMAL'!A72)</f>
        <v>0</v>
      </c>
      <c r="D72" s="7"/>
      <c r="E72" s="7"/>
      <c r="F72" s="7"/>
      <c r="G72" s="7"/>
      <c r="H72" s="7"/>
      <c r="I72" s="7"/>
      <c r="J72" s="7"/>
      <c r="K72" s="7"/>
      <c r="L72" s="7"/>
      <c r="M72" s="7"/>
      <c r="N72" s="7">
        <f t="shared" si="2"/>
        <v>0</v>
      </c>
      <c r="O72" s="7"/>
      <c r="P72" s="32">
        <f t="shared" si="3"/>
        <v>0</v>
      </c>
      <c r="Q72" s="11"/>
      <c r="R72" s="12"/>
      <c r="S72" s="12"/>
      <c r="T72" s="12"/>
      <c r="U72" s="12"/>
      <c r="V72" s="12"/>
      <c r="W72" s="12"/>
      <c r="X72" s="12"/>
      <c r="Y72" s="12"/>
      <c r="Z72" s="12"/>
      <c r="AA72" s="12"/>
      <c r="AB72" s="12"/>
    </row>
    <row r="73" spans="1:28" ht="20.100000000000001" customHeight="1" x14ac:dyDescent="0.25">
      <c r="A73" s="6"/>
      <c r="B73" s="7">
        <f>+SUMIFS(Tablo17106121316182022242[SATIŞ TUTARI],Tablo17106121316182022242[TARİH],"&gt;=01/01/2026",Tablo17106121316182022242[TARİH],"&lt;=31/01/2026",Tablo17106121316182022242[MÜŞTERİ ADI],'GİDER İCMAL'!A73)</f>
        <v>0</v>
      </c>
      <c r="C73" s="7">
        <f>+SUMIFS(Tablo17106121316182022242[SATIŞ TUTARI],Tablo17106121316182022242[TARİH],"&gt;=01/02/2026",Tablo17106121316182022242[TARİH],"&lt;=28/02/2026",Tablo17106121316182022242[MÜŞTERİ ADI],'GİDER İCMAL'!A73)</f>
        <v>0</v>
      </c>
      <c r="D73" s="7"/>
      <c r="E73" s="7"/>
      <c r="F73" s="7"/>
      <c r="G73" s="7"/>
      <c r="H73" s="7"/>
      <c r="I73" s="7"/>
      <c r="J73" s="7"/>
      <c r="K73" s="7"/>
      <c r="L73" s="7"/>
      <c r="M73" s="7"/>
      <c r="N73" s="7">
        <f t="shared" si="2"/>
        <v>0</v>
      </c>
      <c r="O73" s="7"/>
      <c r="P73" s="32">
        <f t="shared" si="3"/>
        <v>0</v>
      </c>
      <c r="Q73" s="11"/>
      <c r="R73" s="12"/>
      <c r="S73" s="12"/>
      <c r="T73" s="12"/>
      <c r="U73" s="12"/>
      <c r="V73" s="12"/>
      <c r="W73" s="12"/>
      <c r="X73" s="12"/>
      <c r="Y73" s="12"/>
      <c r="Z73" s="12"/>
      <c r="AA73" s="12"/>
      <c r="AB73" s="12"/>
    </row>
    <row r="74" spans="1:28" ht="20.100000000000001" customHeight="1" x14ac:dyDescent="0.25">
      <c r="A74" s="6"/>
      <c r="B74" s="7">
        <f>+SUMIFS(Tablo17106121316182022242[SATIŞ TUTARI],Tablo17106121316182022242[TARİH],"&gt;=01/01/2026",Tablo17106121316182022242[TARİH],"&lt;=31/01/2026",Tablo17106121316182022242[MÜŞTERİ ADI],'GİDER İCMAL'!A74)</f>
        <v>0</v>
      </c>
      <c r="C74" s="7">
        <f>+SUMIFS(Tablo17106121316182022242[SATIŞ TUTARI],Tablo17106121316182022242[TARİH],"&gt;=01/02/2026",Tablo17106121316182022242[TARİH],"&lt;=28/02/2026",Tablo17106121316182022242[MÜŞTERİ ADI],'GİDER İCMAL'!A74)</f>
        <v>0</v>
      </c>
      <c r="D74" s="7"/>
      <c r="E74" s="7"/>
      <c r="F74" s="7"/>
      <c r="G74" s="7"/>
      <c r="H74" s="7"/>
      <c r="I74" s="7"/>
      <c r="J74" s="7"/>
      <c r="K74" s="7"/>
      <c r="L74" s="7"/>
      <c r="M74" s="7"/>
      <c r="N74" s="7">
        <f t="shared" si="2"/>
        <v>0</v>
      </c>
      <c r="O74" s="7"/>
      <c r="P74" s="32">
        <f t="shared" si="3"/>
        <v>0</v>
      </c>
      <c r="Q74" s="11"/>
      <c r="R74" s="12"/>
      <c r="S74" s="12"/>
      <c r="T74" s="12"/>
      <c r="U74" s="12"/>
      <c r="V74" s="12"/>
      <c r="W74" s="12"/>
      <c r="X74" s="12"/>
      <c r="Y74" s="12"/>
      <c r="Z74" s="12"/>
      <c r="AA74" s="12"/>
      <c r="AB74" s="12"/>
    </row>
    <row r="75" spans="1:28" ht="20.100000000000001" customHeight="1" x14ac:dyDescent="0.25">
      <c r="A75" s="6"/>
      <c r="B75" s="7">
        <f>+SUMIFS(Tablo17106121316182022242[SATIŞ TUTARI],Tablo17106121316182022242[TARİH],"&gt;=01/01/2026",Tablo17106121316182022242[TARİH],"&lt;=31/01/2026",Tablo17106121316182022242[MÜŞTERİ ADI],'GİDER İCMAL'!A75)</f>
        <v>0</v>
      </c>
      <c r="C75" s="7">
        <f>+SUMIFS(Tablo17106121316182022242[SATIŞ TUTARI],Tablo17106121316182022242[TARİH],"&gt;=01/02/2026",Tablo17106121316182022242[TARİH],"&lt;=28/02/2026",Tablo17106121316182022242[MÜŞTERİ ADI],'GİDER İCMAL'!A75)</f>
        <v>0</v>
      </c>
      <c r="D75" s="7"/>
      <c r="E75" s="7"/>
      <c r="F75" s="7"/>
      <c r="G75" s="7"/>
      <c r="H75" s="7"/>
      <c r="I75" s="7"/>
      <c r="J75" s="7"/>
      <c r="K75" s="7"/>
      <c r="L75" s="7"/>
      <c r="M75" s="7"/>
      <c r="N75" s="7">
        <f t="shared" si="2"/>
        <v>0</v>
      </c>
      <c r="O75" s="7"/>
      <c r="P75" s="32">
        <f t="shared" si="3"/>
        <v>0</v>
      </c>
      <c r="Q75" s="11"/>
      <c r="R75" s="12"/>
      <c r="S75" s="12"/>
      <c r="T75" s="12"/>
      <c r="U75" s="12"/>
      <c r="V75" s="12"/>
      <c r="W75" s="12"/>
      <c r="X75" s="12"/>
      <c r="Y75" s="12"/>
      <c r="Z75" s="12"/>
      <c r="AA75" s="12"/>
      <c r="AB75" s="12"/>
    </row>
    <row r="76" spans="1:28" ht="20.100000000000001" customHeight="1" x14ac:dyDescent="0.25">
      <c r="A76" s="6"/>
      <c r="B76" s="7">
        <f>+SUMIFS(Tablo17106121316182022242[SATIŞ TUTARI],Tablo17106121316182022242[TARİH],"&gt;=01/01/2026",Tablo17106121316182022242[TARİH],"&lt;=31/01/2026",Tablo17106121316182022242[MÜŞTERİ ADI],'GİDER İCMAL'!A76)</f>
        <v>0</v>
      </c>
      <c r="C76" s="7">
        <f>+SUMIFS(Tablo17106121316182022242[SATIŞ TUTARI],Tablo17106121316182022242[TARİH],"&gt;=01/02/2026",Tablo17106121316182022242[TARİH],"&lt;=28/02/2026",Tablo17106121316182022242[MÜŞTERİ ADI],'GİDER İCMAL'!A76)</f>
        <v>0</v>
      </c>
      <c r="D76" s="7"/>
      <c r="E76" s="7"/>
      <c r="F76" s="7"/>
      <c r="G76" s="7"/>
      <c r="H76" s="7"/>
      <c r="I76" s="7"/>
      <c r="J76" s="7"/>
      <c r="K76" s="7"/>
      <c r="L76" s="7"/>
      <c r="M76" s="7"/>
      <c r="N76" s="7">
        <f t="shared" si="2"/>
        <v>0</v>
      </c>
      <c r="O76" s="7"/>
      <c r="P76" s="32">
        <f t="shared" si="3"/>
        <v>0</v>
      </c>
      <c r="Q76" s="11"/>
      <c r="R76" s="12"/>
      <c r="S76" s="12"/>
      <c r="T76" s="12"/>
      <c r="U76" s="12"/>
      <c r="V76" s="12"/>
      <c r="W76" s="12"/>
      <c r="X76" s="12"/>
      <c r="Y76" s="12"/>
      <c r="Z76" s="12"/>
      <c r="AA76" s="12"/>
      <c r="AB76" s="12"/>
    </row>
    <row r="77" spans="1:28" ht="20.100000000000001" customHeight="1" x14ac:dyDescent="0.25">
      <c r="A77" s="6"/>
      <c r="B77" s="7">
        <f>+SUMIFS(Tablo17106121316182022242[SATIŞ TUTARI],Tablo17106121316182022242[TARİH],"&gt;=01/01/2026",Tablo17106121316182022242[TARİH],"&lt;=31/01/2026",Tablo17106121316182022242[MÜŞTERİ ADI],'GİDER İCMAL'!A77)</f>
        <v>0</v>
      </c>
      <c r="C77" s="7">
        <f>+SUMIFS(Tablo17106121316182022242[SATIŞ TUTARI],Tablo17106121316182022242[TARİH],"&gt;=01/02/2026",Tablo17106121316182022242[TARİH],"&lt;=28/02/2026",Tablo17106121316182022242[MÜŞTERİ ADI],'GİDER İCMAL'!A77)</f>
        <v>0</v>
      </c>
      <c r="D77" s="7"/>
      <c r="E77" s="7"/>
      <c r="F77" s="7"/>
      <c r="G77" s="7"/>
      <c r="H77" s="7"/>
      <c r="I77" s="7"/>
      <c r="J77" s="7"/>
      <c r="K77" s="7"/>
      <c r="L77" s="7"/>
      <c r="M77" s="7"/>
      <c r="N77" s="7">
        <f t="shared" si="2"/>
        <v>0</v>
      </c>
      <c r="O77" s="7"/>
      <c r="P77" s="32">
        <f t="shared" si="3"/>
        <v>0</v>
      </c>
      <c r="Q77" s="11"/>
      <c r="R77" s="12"/>
      <c r="S77" s="12"/>
      <c r="T77" s="12"/>
      <c r="U77" s="12"/>
      <c r="V77" s="12"/>
      <c r="W77" s="12"/>
      <c r="X77" s="12"/>
      <c r="Y77" s="12"/>
      <c r="Z77" s="12"/>
      <c r="AA77" s="12"/>
      <c r="AB77" s="12"/>
    </row>
    <row r="78" spans="1:28" ht="20.100000000000001" customHeight="1" x14ac:dyDescent="0.25">
      <c r="A78" s="6"/>
      <c r="B78" s="7">
        <f>+SUMIFS(Tablo17106121316182022242[SATIŞ TUTARI],Tablo17106121316182022242[TARİH],"&gt;=01/01/2026",Tablo17106121316182022242[TARİH],"&lt;=31/01/2026",Tablo17106121316182022242[MÜŞTERİ ADI],'GİDER İCMAL'!A78)</f>
        <v>0</v>
      </c>
      <c r="C78" s="7">
        <f>+SUMIFS(Tablo17106121316182022242[SATIŞ TUTARI],Tablo17106121316182022242[TARİH],"&gt;=01/02/2026",Tablo17106121316182022242[TARİH],"&lt;=28/02/2026",Tablo17106121316182022242[MÜŞTERİ ADI],'GİDER İCMAL'!A78)</f>
        <v>0</v>
      </c>
      <c r="D78" s="7"/>
      <c r="E78" s="7"/>
      <c r="F78" s="7"/>
      <c r="G78" s="7"/>
      <c r="H78" s="7"/>
      <c r="I78" s="7"/>
      <c r="J78" s="7"/>
      <c r="K78" s="7"/>
      <c r="L78" s="7"/>
      <c r="M78" s="7"/>
      <c r="N78" s="7">
        <f t="shared" si="2"/>
        <v>0</v>
      </c>
      <c r="O78" s="7"/>
      <c r="P78" s="32">
        <f t="shared" si="3"/>
        <v>0</v>
      </c>
      <c r="Q78" s="11"/>
      <c r="R78" s="12"/>
      <c r="S78" s="12"/>
      <c r="T78" s="12"/>
      <c r="U78" s="12"/>
      <c r="V78" s="12"/>
      <c r="W78" s="12"/>
      <c r="X78" s="12"/>
      <c r="Y78" s="12"/>
      <c r="Z78" s="12"/>
      <c r="AA78" s="12"/>
      <c r="AB78" s="12"/>
    </row>
    <row r="79" spans="1:28" ht="20.100000000000001" customHeight="1" x14ac:dyDescent="0.25">
      <c r="A79" s="6"/>
      <c r="B79" s="7">
        <f>+SUMIFS(Tablo17106121316182022242[SATIŞ TUTARI],Tablo17106121316182022242[TARİH],"&gt;=01/01/2026",Tablo17106121316182022242[TARİH],"&lt;=31/01/2026",Tablo17106121316182022242[MÜŞTERİ ADI],'GİDER İCMAL'!A79)</f>
        <v>0</v>
      </c>
      <c r="C79" s="7">
        <f>+SUMIFS(Tablo17106121316182022242[SATIŞ TUTARI],Tablo17106121316182022242[TARİH],"&gt;=01/02/2026",Tablo17106121316182022242[TARİH],"&lt;=28/02/2026",Tablo17106121316182022242[MÜŞTERİ ADI],'GİDER İCMAL'!A79)</f>
        <v>0</v>
      </c>
      <c r="D79" s="7"/>
      <c r="E79" s="7"/>
      <c r="F79" s="7"/>
      <c r="G79" s="7"/>
      <c r="H79" s="7"/>
      <c r="I79" s="7"/>
      <c r="J79" s="7"/>
      <c r="K79" s="7"/>
      <c r="L79" s="7"/>
      <c r="M79" s="7"/>
      <c r="N79" s="7">
        <f t="shared" si="2"/>
        <v>0</v>
      </c>
      <c r="O79" s="7"/>
      <c r="P79" s="32">
        <f t="shared" si="3"/>
        <v>0</v>
      </c>
      <c r="Q79" s="11"/>
      <c r="R79" s="12"/>
      <c r="S79" s="12"/>
      <c r="T79" s="12"/>
      <c r="U79" s="12"/>
      <c r="V79" s="12"/>
      <c r="W79" s="12"/>
      <c r="X79" s="12"/>
      <c r="Y79" s="12"/>
      <c r="Z79" s="12"/>
      <c r="AA79" s="12"/>
      <c r="AB79" s="12"/>
    </row>
    <row r="80" spans="1:28" ht="20.100000000000001" customHeight="1" x14ac:dyDescent="0.25">
      <c r="A80" s="6"/>
      <c r="B80" s="7">
        <f>+SUMIFS(Tablo17106121316182022242[SATIŞ TUTARI],Tablo17106121316182022242[TARİH],"&gt;=01/01/2026",Tablo17106121316182022242[TARİH],"&lt;=31/01/2026",Tablo17106121316182022242[MÜŞTERİ ADI],'GİDER İCMAL'!A80)</f>
        <v>0</v>
      </c>
      <c r="C80" s="7">
        <f>+SUMIFS(Tablo17106121316182022242[SATIŞ TUTARI],Tablo17106121316182022242[TARİH],"&gt;=01/02/2026",Tablo17106121316182022242[TARİH],"&lt;=28/02/2026",Tablo17106121316182022242[MÜŞTERİ ADI],'GİDER İCMAL'!A80)</f>
        <v>0</v>
      </c>
      <c r="D80" s="7"/>
      <c r="E80" s="7"/>
      <c r="F80" s="7"/>
      <c r="G80" s="7"/>
      <c r="H80" s="7"/>
      <c r="I80" s="7"/>
      <c r="J80" s="7"/>
      <c r="K80" s="7"/>
      <c r="L80" s="7"/>
      <c r="M80" s="7"/>
      <c r="N80" s="7">
        <f t="shared" si="2"/>
        <v>0</v>
      </c>
      <c r="O80" s="7"/>
      <c r="P80" s="32">
        <f t="shared" si="3"/>
        <v>0</v>
      </c>
      <c r="Q80" s="11"/>
      <c r="R80" s="12"/>
      <c r="S80" s="12"/>
      <c r="T80" s="12"/>
      <c r="U80" s="12"/>
      <c r="V80" s="12"/>
      <c r="W80" s="12"/>
      <c r="X80" s="12"/>
      <c r="Y80" s="12"/>
      <c r="Z80" s="12"/>
      <c r="AA80" s="12"/>
      <c r="AB80" s="12"/>
    </row>
    <row r="81" spans="1:28" ht="20.100000000000001" customHeight="1" x14ac:dyDescent="0.25">
      <c r="A81" s="6"/>
      <c r="B81" s="7">
        <f>+SUMIFS(Tablo17106121316182022242[SATIŞ TUTARI],Tablo17106121316182022242[TARİH],"&gt;=01/01/2026",Tablo17106121316182022242[TARİH],"&lt;=31/01/2026",Tablo17106121316182022242[MÜŞTERİ ADI],'GİDER İCMAL'!A81)</f>
        <v>0</v>
      </c>
      <c r="C81" s="7">
        <f>+SUMIFS(Tablo17106121316182022242[SATIŞ TUTARI],Tablo17106121316182022242[TARİH],"&gt;=01/02/2026",Tablo17106121316182022242[TARİH],"&lt;=28/02/2026",Tablo17106121316182022242[MÜŞTERİ ADI],'GİDER İCMAL'!A81)</f>
        <v>0</v>
      </c>
      <c r="D81" s="7"/>
      <c r="E81" s="7"/>
      <c r="F81" s="7"/>
      <c r="G81" s="7"/>
      <c r="H81" s="7"/>
      <c r="I81" s="7"/>
      <c r="J81" s="7"/>
      <c r="K81" s="7"/>
      <c r="L81" s="7"/>
      <c r="M81" s="7"/>
      <c r="N81" s="7">
        <f t="shared" si="2"/>
        <v>0</v>
      </c>
      <c r="O81" s="7"/>
      <c r="P81" s="32">
        <f t="shared" si="3"/>
        <v>0</v>
      </c>
      <c r="Q81" s="11"/>
      <c r="R81" s="12"/>
      <c r="S81" s="12"/>
      <c r="T81" s="12"/>
      <c r="U81" s="12"/>
      <c r="V81" s="12"/>
      <c r="W81" s="12"/>
      <c r="X81" s="12"/>
      <c r="Y81" s="12"/>
      <c r="Z81" s="12"/>
      <c r="AA81" s="12"/>
      <c r="AB81" s="12"/>
    </row>
    <row r="82" spans="1:28" ht="20.100000000000001" customHeight="1" x14ac:dyDescent="0.25">
      <c r="A82" s="6"/>
      <c r="B82" s="7">
        <f>+SUMIFS(Tablo17106121316182022242[SATIŞ TUTARI],Tablo17106121316182022242[TARİH],"&gt;=01/01/2026",Tablo17106121316182022242[TARİH],"&lt;=31/01/2026",Tablo17106121316182022242[MÜŞTERİ ADI],'GİDER İCMAL'!A82)</f>
        <v>0</v>
      </c>
      <c r="C82" s="7">
        <f>+SUMIFS(Tablo17106121316182022242[SATIŞ TUTARI],Tablo17106121316182022242[TARİH],"&gt;=01/02/2026",Tablo17106121316182022242[TARİH],"&lt;=28/02/2026",Tablo17106121316182022242[MÜŞTERİ ADI],'GİDER İCMAL'!A82)</f>
        <v>0</v>
      </c>
      <c r="D82" s="7"/>
      <c r="E82" s="7"/>
      <c r="F82" s="7"/>
      <c r="G82" s="7"/>
      <c r="H82" s="7"/>
      <c r="I82" s="7"/>
      <c r="J82" s="7"/>
      <c r="K82" s="7"/>
      <c r="L82" s="7"/>
      <c r="M82" s="7"/>
      <c r="N82" s="7">
        <f t="shared" si="2"/>
        <v>0</v>
      </c>
      <c r="O82" s="7"/>
      <c r="P82" s="32">
        <f t="shared" si="3"/>
        <v>0</v>
      </c>
      <c r="Q82" s="11"/>
      <c r="R82" s="12"/>
      <c r="S82" s="12"/>
      <c r="T82" s="12"/>
      <c r="U82" s="12"/>
      <c r="V82" s="12"/>
      <c r="W82" s="12"/>
      <c r="X82" s="12"/>
      <c r="Y82" s="12"/>
      <c r="Z82" s="12"/>
      <c r="AA82" s="12"/>
      <c r="AB82" s="12"/>
    </row>
    <row r="83" spans="1:28" ht="20.100000000000001" customHeight="1" x14ac:dyDescent="0.25">
      <c r="A83" s="6"/>
      <c r="B83" s="7">
        <f>+SUMIFS(Tablo17106121316182022242[SATIŞ TUTARI],Tablo17106121316182022242[TARİH],"&gt;=01/01/2026",Tablo17106121316182022242[TARİH],"&lt;=31/01/2026",Tablo17106121316182022242[MÜŞTERİ ADI],'GİDER İCMAL'!A83)</f>
        <v>0</v>
      </c>
      <c r="C83" s="7">
        <f>+SUMIFS(Tablo17106121316182022242[SATIŞ TUTARI],Tablo17106121316182022242[TARİH],"&gt;=01/02/2026",Tablo17106121316182022242[TARİH],"&lt;=28/02/2026",Tablo17106121316182022242[MÜŞTERİ ADI],'GİDER İCMAL'!A83)</f>
        <v>0</v>
      </c>
      <c r="D83" s="7"/>
      <c r="E83" s="7"/>
      <c r="F83" s="7"/>
      <c r="G83" s="7"/>
      <c r="H83" s="7"/>
      <c r="I83" s="7"/>
      <c r="J83" s="7"/>
      <c r="K83" s="7"/>
      <c r="L83" s="7"/>
      <c r="M83" s="7"/>
      <c r="N83" s="7">
        <f t="shared" si="2"/>
        <v>0</v>
      </c>
      <c r="O83" s="7"/>
      <c r="P83" s="32">
        <f t="shared" si="3"/>
        <v>0</v>
      </c>
      <c r="Q83" s="11"/>
      <c r="R83" s="12"/>
      <c r="S83" s="12"/>
      <c r="T83" s="12"/>
      <c r="U83" s="12"/>
      <c r="V83" s="12"/>
      <c r="W83" s="12"/>
      <c r="X83" s="12"/>
      <c r="Y83" s="12"/>
      <c r="Z83" s="12"/>
      <c r="AA83" s="12"/>
      <c r="AB83" s="12"/>
    </row>
    <row r="84" spans="1:28" ht="20.100000000000001" customHeight="1" x14ac:dyDescent="0.25">
      <c r="A84" s="6"/>
      <c r="B84" s="7">
        <f>+SUMIFS(Tablo17106121316182022242[SATIŞ TUTARI],Tablo17106121316182022242[TARİH],"&gt;=01/01/2026",Tablo17106121316182022242[TARİH],"&lt;=31/01/2026",Tablo17106121316182022242[MÜŞTERİ ADI],'GİDER İCMAL'!A84)</f>
        <v>0</v>
      </c>
      <c r="C84" s="7">
        <f>+SUMIFS(Tablo17106121316182022242[SATIŞ TUTARI],Tablo17106121316182022242[TARİH],"&gt;=01/02/2026",Tablo17106121316182022242[TARİH],"&lt;=28/02/2026",Tablo17106121316182022242[MÜŞTERİ ADI],'GİDER İCMAL'!A84)</f>
        <v>0</v>
      </c>
      <c r="D84" s="7"/>
      <c r="E84" s="7"/>
      <c r="F84" s="7"/>
      <c r="G84" s="7"/>
      <c r="H84" s="7"/>
      <c r="I84" s="7"/>
      <c r="J84" s="7"/>
      <c r="K84" s="7"/>
      <c r="L84" s="7"/>
      <c r="M84" s="7"/>
      <c r="N84" s="7">
        <f t="shared" si="2"/>
        <v>0</v>
      </c>
      <c r="O84" s="7"/>
      <c r="P84" s="32">
        <f t="shared" si="3"/>
        <v>0</v>
      </c>
      <c r="Q84" s="11"/>
      <c r="R84" s="12"/>
      <c r="S84" s="12"/>
      <c r="T84" s="12"/>
      <c r="U84" s="12"/>
      <c r="V84" s="12"/>
      <c r="W84" s="12"/>
      <c r="X84" s="12"/>
      <c r="Y84" s="12"/>
      <c r="Z84" s="12"/>
      <c r="AA84" s="12"/>
      <c r="AB84" s="12"/>
    </row>
    <row r="85" spans="1:28" ht="20.100000000000001" customHeight="1" x14ac:dyDescent="0.25">
      <c r="A85" s="6"/>
      <c r="B85" s="7">
        <f>+SUMIFS(Tablo17106121316182022242[SATIŞ TUTARI],Tablo17106121316182022242[TARİH],"&gt;=01/01/2026",Tablo17106121316182022242[TARİH],"&lt;=31/01/2026",Tablo17106121316182022242[MÜŞTERİ ADI],'GİDER İCMAL'!A85)</f>
        <v>0</v>
      </c>
      <c r="C85" s="7">
        <f>+SUMIFS(Tablo17106121316182022242[SATIŞ TUTARI],Tablo17106121316182022242[TARİH],"&gt;=01/02/2026",Tablo17106121316182022242[TARİH],"&lt;=28/02/2026",Tablo17106121316182022242[MÜŞTERİ ADI],'GİDER İCMAL'!A85)</f>
        <v>0</v>
      </c>
      <c r="D85" s="7"/>
      <c r="E85" s="7"/>
      <c r="F85" s="7"/>
      <c r="G85" s="7"/>
      <c r="H85" s="7"/>
      <c r="I85" s="7"/>
      <c r="J85" s="7"/>
      <c r="K85" s="7"/>
      <c r="L85" s="7"/>
      <c r="M85" s="7"/>
      <c r="N85" s="7">
        <f t="shared" si="2"/>
        <v>0</v>
      </c>
      <c r="O85" s="7"/>
      <c r="P85" s="32">
        <f t="shared" si="3"/>
        <v>0</v>
      </c>
      <c r="Q85" s="11"/>
      <c r="R85" s="12"/>
      <c r="S85" s="12"/>
      <c r="T85" s="12"/>
      <c r="U85" s="12"/>
      <c r="V85" s="12"/>
      <c r="W85" s="12"/>
      <c r="X85" s="12"/>
      <c r="Y85" s="12"/>
      <c r="Z85" s="12"/>
      <c r="AA85" s="12"/>
      <c r="AB85" s="12"/>
    </row>
    <row r="86" spans="1:28" ht="20.100000000000001" customHeight="1" x14ac:dyDescent="0.25">
      <c r="A86" s="6"/>
      <c r="B86" s="7">
        <f>+SUMIFS(Tablo17106121316182022242[SATIŞ TUTARI],Tablo17106121316182022242[TARİH],"&gt;=01/01/2026",Tablo17106121316182022242[TARİH],"&lt;=31/01/2026",Tablo17106121316182022242[MÜŞTERİ ADI],'GİDER İCMAL'!A86)</f>
        <v>0</v>
      </c>
      <c r="C86" s="7">
        <f>+SUMIFS(Tablo17106121316182022242[SATIŞ TUTARI],Tablo17106121316182022242[TARİH],"&gt;=01/02/2026",Tablo17106121316182022242[TARİH],"&lt;=28/02/2026",Tablo17106121316182022242[MÜŞTERİ ADI],'GİDER İCMAL'!A86)</f>
        <v>0</v>
      </c>
      <c r="D86" s="7"/>
      <c r="E86" s="7"/>
      <c r="F86" s="7"/>
      <c r="G86" s="7"/>
      <c r="H86" s="7"/>
      <c r="I86" s="7"/>
      <c r="J86" s="7"/>
      <c r="K86" s="7"/>
      <c r="L86" s="7"/>
      <c r="M86" s="7"/>
      <c r="N86" s="7">
        <f t="shared" si="2"/>
        <v>0</v>
      </c>
      <c r="O86" s="7"/>
      <c r="P86" s="32">
        <f t="shared" si="3"/>
        <v>0</v>
      </c>
      <c r="Q86" s="11"/>
      <c r="R86" s="12"/>
      <c r="S86" s="12"/>
      <c r="T86" s="12"/>
      <c r="U86" s="12"/>
      <c r="V86" s="12"/>
      <c r="W86" s="12"/>
      <c r="X86" s="12"/>
      <c r="Y86" s="12"/>
      <c r="Z86" s="12"/>
      <c r="AA86" s="12"/>
      <c r="AB86" s="12"/>
    </row>
    <row r="87" spans="1:28" ht="20.100000000000001" customHeight="1" x14ac:dyDescent="0.25">
      <c r="A87" s="6"/>
      <c r="B87" s="7">
        <f>+SUMIFS(Tablo17106121316182022242[SATIŞ TUTARI],Tablo17106121316182022242[TARİH],"&gt;=01/01/2026",Tablo17106121316182022242[TARİH],"&lt;=31/01/2026",Tablo17106121316182022242[MÜŞTERİ ADI],'GİDER İCMAL'!A87)</f>
        <v>0</v>
      </c>
      <c r="C87" s="7">
        <f>+SUMIFS(Tablo17106121316182022242[SATIŞ TUTARI],Tablo17106121316182022242[TARİH],"&gt;=01/02/2026",Tablo17106121316182022242[TARİH],"&lt;=28/02/2026",Tablo17106121316182022242[MÜŞTERİ ADI],'GİDER İCMAL'!A87)</f>
        <v>0</v>
      </c>
      <c r="D87" s="7"/>
      <c r="E87" s="7"/>
      <c r="F87" s="7"/>
      <c r="G87" s="7"/>
      <c r="H87" s="7"/>
      <c r="I87" s="7"/>
      <c r="J87" s="7"/>
      <c r="K87" s="7"/>
      <c r="L87" s="7"/>
      <c r="M87" s="7"/>
      <c r="N87" s="7">
        <f t="shared" si="2"/>
        <v>0</v>
      </c>
      <c r="O87" s="7"/>
      <c r="P87" s="32">
        <f t="shared" si="3"/>
        <v>0</v>
      </c>
      <c r="Q87" s="11"/>
      <c r="R87" s="12"/>
      <c r="S87" s="12"/>
      <c r="T87" s="12"/>
      <c r="U87" s="12"/>
      <c r="V87" s="12"/>
      <c r="W87" s="12"/>
      <c r="X87" s="12"/>
      <c r="Y87" s="12"/>
      <c r="Z87" s="12"/>
      <c r="AA87" s="12"/>
      <c r="AB87" s="12"/>
    </row>
    <row r="88" spans="1:28" ht="20.100000000000001" customHeight="1" x14ac:dyDescent="0.25">
      <c r="A88" s="6"/>
      <c r="B88" s="7">
        <f>+SUMIFS(Tablo17106121316182022242[SATIŞ TUTARI],Tablo17106121316182022242[TARİH],"&gt;=01/01/2026",Tablo17106121316182022242[TARİH],"&lt;=31/01/2026",Tablo17106121316182022242[MÜŞTERİ ADI],'GİDER İCMAL'!A88)</f>
        <v>0</v>
      </c>
      <c r="C88" s="7">
        <f>+SUMIFS(Tablo17106121316182022242[SATIŞ TUTARI],Tablo17106121316182022242[TARİH],"&gt;=01/02/2026",Tablo17106121316182022242[TARİH],"&lt;=28/02/2026",Tablo17106121316182022242[MÜŞTERİ ADI],'GİDER İCMAL'!A88)</f>
        <v>0</v>
      </c>
      <c r="D88" s="7"/>
      <c r="E88" s="7"/>
      <c r="F88" s="7"/>
      <c r="G88" s="7"/>
      <c r="H88" s="7"/>
      <c r="I88" s="7"/>
      <c r="J88" s="7"/>
      <c r="K88" s="7"/>
      <c r="L88" s="7"/>
      <c r="M88" s="7"/>
      <c r="N88" s="7">
        <f t="shared" si="2"/>
        <v>0</v>
      </c>
      <c r="O88" s="7"/>
      <c r="P88" s="32">
        <f t="shared" si="3"/>
        <v>0</v>
      </c>
      <c r="Q88" s="11"/>
      <c r="R88" s="12"/>
      <c r="S88" s="12"/>
      <c r="T88" s="12"/>
      <c r="U88" s="12"/>
      <c r="V88" s="12"/>
      <c r="W88" s="12"/>
      <c r="X88" s="12"/>
      <c r="Y88" s="12"/>
      <c r="Z88" s="12"/>
      <c r="AA88" s="12"/>
      <c r="AB88" s="12"/>
    </row>
    <row r="89" spans="1:28" ht="20.100000000000001" customHeight="1" x14ac:dyDescent="0.25">
      <c r="A89" s="6"/>
      <c r="B89" s="7">
        <f>+SUMIFS(Tablo17106121316182022242[SATIŞ TUTARI],Tablo17106121316182022242[TARİH],"&gt;=01/01/2026",Tablo17106121316182022242[TARİH],"&lt;=31/01/2026",Tablo17106121316182022242[MÜŞTERİ ADI],'GİDER İCMAL'!A89)</f>
        <v>0</v>
      </c>
      <c r="C89" s="7">
        <f>+SUMIFS(Tablo17106121316182022242[SATIŞ TUTARI],Tablo17106121316182022242[TARİH],"&gt;=01/02/2026",Tablo17106121316182022242[TARİH],"&lt;=28/02/2026",Tablo17106121316182022242[MÜŞTERİ ADI],'GİDER İCMAL'!A89)</f>
        <v>0</v>
      </c>
      <c r="D89" s="7"/>
      <c r="E89" s="7"/>
      <c r="F89" s="7"/>
      <c r="G89" s="7"/>
      <c r="H89" s="7"/>
      <c r="I89" s="7"/>
      <c r="J89" s="7"/>
      <c r="K89" s="7"/>
      <c r="L89" s="7"/>
      <c r="M89" s="7"/>
      <c r="N89" s="7">
        <f t="shared" si="2"/>
        <v>0</v>
      </c>
      <c r="O89" s="7"/>
      <c r="P89" s="32">
        <f t="shared" si="3"/>
        <v>0</v>
      </c>
      <c r="Q89" s="11"/>
      <c r="R89" s="12"/>
      <c r="S89" s="12"/>
      <c r="T89" s="12"/>
      <c r="U89" s="12"/>
      <c r="V89" s="12"/>
      <c r="W89" s="12"/>
      <c r="X89" s="12"/>
      <c r="Y89" s="12"/>
      <c r="Z89" s="12"/>
      <c r="AA89" s="12"/>
      <c r="AB89" s="12"/>
    </row>
    <row r="90" spans="1:28" ht="20.100000000000001" customHeight="1" x14ac:dyDescent="0.25">
      <c r="A90" s="6"/>
      <c r="B90" s="7">
        <f>+SUMIFS(Tablo17106121316182022242[SATIŞ TUTARI],Tablo17106121316182022242[TARİH],"&gt;=01/01/2026",Tablo17106121316182022242[TARİH],"&lt;=31/01/2026",Tablo17106121316182022242[MÜŞTERİ ADI],'GİDER İCMAL'!A90)</f>
        <v>0</v>
      </c>
      <c r="C90" s="7">
        <f>+SUMIFS(Tablo17106121316182022242[SATIŞ TUTARI],Tablo17106121316182022242[TARİH],"&gt;=01/02/2026",Tablo17106121316182022242[TARİH],"&lt;=28/02/2026",Tablo17106121316182022242[MÜŞTERİ ADI],'GİDER İCMAL'!A90)</f>
        <v>0</v>
      </c>
      <c r="D90" s="7"/>
      <c r="E90" s="7"/>
      <c r="F90" s="7"/>
      <c r="G90" s="7"/>
      <c r="H90" s="7"/>
      <c r="I90" s="7"/>
      <c r="J90" s="7"/>
      <c r="K90" s="7"/>
      <c r="L90" s="7"/>
      <c r="M90" s="7"/>
      <c r="N90" s="7">
        <f t="shared" si="2"/>
        <v>0</v>
      </c>
      <c r="O90" s="7"/>
      <c r="P90" s="32">
        <f t="shared" si="3"/>
        <v>0</v>
      </c>
      <c r="Q90" s="11"/>
      <c r="R90" s="12"/>
      <c r="S90" s="12"/>
      <c r="T90" s="12"/>
      <c r="U90" s="12"/>
      <c r="V90" s="12"/>
      <c r="W90" s="12"/>
      <c r="X90" s="12"/>
      <c r="Y90" s="12"/>
      <c r="Z90" s="12"/>
      <c r="AA90" s="12"/>
      <c r="AB90" s="12"/>
    </row>
    <row r="91" spans="1:28" ht="20.100000000000001" customHeight="1" x14ac:dyDescent="0.25">
      <c r="A91" s="6"/>
      <c r="B91" s="7">
        <f>+SUMIFS(Tablo17106121316182022242[SATIŞ TUTARI],Tablo17106121316182022242[TARİH],"&gt;=01/01/2026",Tablo17106121316182022242[TARİH],"&lt;=31/01/2026",Tablo17106121316182022242[MÜŞTERİ ADI],'GİDER İCMAL'!A91)</f>
        <v>0</v>
      </c>
      <c r="C91" s="7">
        <f>+SUMIFS(Tablo17106121316182022242[SATIŞ TUTARI],Tablo17106121316182022242[TARİH],"&gt;=01/02/2026",Tablo17106121316182022242[TARİH],"&lt;=28/02/2026",Tablo17106121316182022242[MÜŞTERİ ADI],'GİDER İCMAL'!A91)</f>
        <v>0</v>
      </c>
      <c r="D91" s="7"/>
      <c r="E91" s="7"/>
      <c r="F91" s="7"/>
      <c r="G91" s="7"/>
      <c r="H91" s="7"/>
      <c r="I91" s="7"/>
      <c r="J91" s="7"/>
      <c r="K91" s="7"/>
      <c r="L91" s="7"/>
      <c r="M91" s="7"/>
      <c r="N91" s="7">
        <f t="shared" si="2"/>
        <v>0</v>
      </c>
      <c r="O91" s="7"/>
      <c r="P91" s="32">
        <f t="shared" si="3"/>
        <v>0</v>
      </c>
      <c r="Q91" s="11"/>
      <c r="R91" s="12"/>
      <c r="S91" s="12"/>
      <c r="T91" s="12"/>
      <c r="U91" s="12"/>
      <c r="V91" s="12"/>
      <c r="W91" s="12"/>
      <c r="X91" s="12"/>
      <c r="Y91" s="12"/>
      <c r="Z91" s="12"/>
      <c r="AA91" s="12"/>
      <c r="AB91" s="12"/>
    </row>
    <row r="92" spans="1:28" ht="20.100000000000001" customHeight="1" x14ac:dyDescent="0.25">
      <c r="A92" s="6"/>
      <c r="B92" s="7">
        <f>+SUMIFS(Tablo17106121316182022242[SATIŞ TUTARI],Tablo17106121316182022242[TARİH],"&gt;=01/01/2026",Tablo17106121316182022242[TARİH],"&lt;=31/01/2026",Tablo17106121316182022242[MÜŞTERİ ADI],'GİDER İCMAL'!A92)</f>
        <v>0</v>
      </c>
      <c r="C92" s="7">
        <f>+SUMIFS(Tablo17106121316182022242[SATIŞ TUTARI],Tablo17106121316182022242[TARİH],"&gt;=01/02/2026",Tablo17106121316182022242[TARİH],"&lt;=28/02/2026",Tablo17106121316182022242[MÜŞTERİ ADI],'GİDER İCMAL'!A92)</f>
        <v>0</v>
      </c>
      <c r="D92" s="7"/>
      <c r="E92" s="7"/>
      <c r="F92" s="7"/>
      <c r="G92" s="7"/>
      <c r="H92" s="7"/>
      <c r="I92" s="7"/>
      <c r="J92" s="7"/>
      <c r="K92" s="7"/>
      <c r="L92" s="7"/>
      <c r="M92" s="7"/>
      <c r="N92" s="7">
        <f t="shared" si="2"/>
        <v>0</v>
      </c>
      <c r="O92" s="7"/>
      <c r="P92" s="32">
        <f t="shared" si="3"/>
        <v>0</v>
      </c>
      <c r="Q92" s="11"/>
      <c r="R92" s="12"/>
      <c r="S92" s="12"/>
      <c r="T92" s="12"/>
      <c r="U92" s="12"/>
      <c r="V92" s="12"/>
      <c r="W92" s="12"/>
      <c r="X92" s="12"/>
      <c r="Y92" s="12"/>
      <c r="Z92" s="12"/>
      <c r="AA92" s="12"/>
      <c r="AB92" s="12"/>
    </row>
    <row r="93" spans="1:28" ht="20.100000000000001" customHeight="1" x14ac:dyDescent="0.25">
      <c r="A93" s="6"/>
      <c r="B93" s="7">
        <f>+SUMIFS(Tablo17106121316182022242[SATIŞ TUTARI],Tablo17106121316182022242[TARİH],"&gt;=01/01/2026",Tablo17106121316182022242[TARİH],"&lt;=31/01/2026",Tablo17106121316182022242[MÜŞTERİ ADI],'GİDER İCMAL'!A93)</f>
        <v>0</v>
      </c>
      <c r="C93" s="7">
        <f>+SUMIFS(Tablo17106121316182022242[SATIŞ TUTARI],Tablo17106121316182022242[TARİH],"&gt;=01/02/2026",Tablo17106121316182022242[TARİH],"&lt;=28/02/2026",Tablo17106121316182022242[MÜŞTERİ ADI],'GİDER İCMAL'!A93)</f>
        <v>0</v>
      </c>
      <c r="D93" s="7"/>
      <c r="E93" s="7"/>
      <c r="F93" s="7"/>
      <c r="G93" s="7"/>
      <c r="H93" s="7"/>
      <c r="I93" s="7"/>
      <c r="J93" s="7"/>
      <c r="K93" s="7"/>
      <c r="L93" s="7"/>
      <c r="M93" s="7"/>
      <c r="N93" s="7">
        <f t="shared" si="2"/>
        <v>0</v>
      </c>
      <c r="O93" s="7"/>
      <c r="P93" s="32">
        <f t="shared" si="3"/>
        <v>0</v>
      </c>
      <c r="Q93" s="11"/>
      <c r="R93" s="12"/>
      <c r="S93" s="12"/>
      <c r="T93" s="12"/>
      <c r="U93" s="12"/>
      <c r="V93" s="12"/>
      <c r="W93" s="12"/>
      <c r="X93" s="12"/>
      <c r="Y93" s="12"/>
      <c r="Z93" s="12"/>
      <c r="AA93" s="12"/>
      <c r="AB93" s="12"/>
    </row>
    <row r="94" spans="1:28" ht="20.100000000000001" customHeight="1" x14ac:dyDescent="0.25">
      <c r="A94" s="6"/>
      <c r="B94" s="7">
        <f>+SUMIFS(Tablo17106121316182022242[SATIŞ TUTARI],Tablo17106121316182022242[TARİH],"&gt;=01/01/2026",Tablo17106121316182022242[TARİH],"&lt;=31/01/2026",Tablo17106121316182022242[MÜŞTERİ ADI],'GİDER İCMAL'!A94)</f>
        <v>0</v>
      </c>
      <c r="C94" s="7">
        <f>+SUMIFS(Tablo17106121316182022242[SATIŞ TUTARI],Tablo17106121316182022242[TARİH],"&gt;=01/02/2026",Tablo17106121316182022242[TARİH],"&lt;=28/02/2026",Tablo17106121316182022242[MÜŞTERİ ADI],'GİDER İCMAL'!A94)</f>
        <v>0</v>
      </c>
      <c r="D94" s="7"/>
      <c r="E94" s="7"/>
      <c r="F94" s="7"/>
      <c r="G94" s="7"/>
      <c r="H94" s="7"/>
      <c r="I94" s="7"/>
      <c r="J94" s="7"/>
      <c r="K94" s="7"/>
      <c r="L94" s="7"/>
      <c r="M94" s="7"/>
      <c r="N94" s="7">
        <f t="shared" si="2"/>
        <v>0</v>
      </c>
      <c r="O94" s="7"/>
      <c r="P94" s="32">
        <f t="shared" si="3"/>
        <v>0</v>
      </c>
      <c r="Q94" s="11"/>
      <c r="R94" s="12"/>
      <c r="S94" s="12"/>
      <c r="T94" s="12"/>
      <c r="U94" s="12"/>
      <c r="V94" s="12"/>
      <c r="W94" s="12"/>
      <c r="X94" s="12"/>
      <c r="Y94" s="12"/>
      <c r="Z94" s="12"/>
      <c r="AA94" s="12"/>
      <c r="AB94" s="12"/>
    </row>
    <row r="95" spans="1:28" ht="20.100000000000001" customHeight="1" x14ac:dyDescent="0.25">
      <c r="A95" s="6"/>
      <c r="B95" s="7">
        <f>+SUMIFS(Tablo17106121316182022242[SATIŞ TUTARI],Tablo17106121316182022242[TARİH],"&gt;=01/01/2026",Tablo17106121316182022242[TARİH],"&lt;=31/01/2026",Tablo17106121316182022242[MÜŞTERİ ADI],'GİDER İCMAL'!A95)</f>
        <v>0</v>
      </c>
      <c r="C95" s="7">
        <f>+SUMIFS(Tablo17106121316182022242[SATIŞ TUTARI],Tablo17106121316182022242[TARİH],"&gt;=01/02/2026",Tablo17106121316182022242[TARİH],"&lt;=28/02/2026",Tablo17106121316182022242[MÜŞTERİ ADI],'GİDER İCMAL'!A95)</f>
        <v>0</v>
      </c>
      <c r="D95" s="7"/>
      <c r="E95" s="7"/>
      <c r="F95" s="7"/>
      <c r="G95" s="7"/>
      <c r="H95" s="7"/>
      <c r="I95" s="7"/>
      <c r="J95" s="7"/>
      <c r="K95" s="7"/>
      <c r="L95" s="7"/>
      <c r="M95" s="7"/>
      <c r="N95" s="7">
        <f t="shared" si="2"/>
        <v>0</v>
      </c>
      <c r="O95" s="7"/>
      <c r="P95" s="32">
        <f t="shared" si="3"/>
        <v>0</v>
      </c>
      <c r="Q95" s="11"/>
      <c r="R95" s="12"/>
      <c r="S95" s="12"/>
      <c r="T95" s="12"/>
      <c r="U95" s="12"/>
      <c r="V95" s="12"/>
      <c r="W95" s="12"/>
      <c r="X95" s="12"/>
      <c r="Y95" s="12"/>
      <c r="Z95" s="12"/>
      <c r="AA95" s="12"/>
      <c r="AB95" s="12"/>
    </row>
    <row r="96" spans="1:28" ht="20.100000000000001" customHeight="1" x14ac:dyDescent="0.25">
      <c r="A96" s="6"/>
      <c r="B96" s="7">
        <f>+SUMIFS(Tablo17106121316182022242[SATIŞ TUTARI],Tablo17106121316182022242[TARİH],"&gt;=01/01/2026",Tablo17106121316182022242[TARİH],"&lt;=31/01/2026",Tablo17106121316182022242[MÜŞTERİ ADI],'GİDER İCMAL'!A96)</f>
        <v>0</v>
      </c>
      <c r="C96" s="7">
        <f>+SUMIFS(Tablo17106121316182022242[SATIŞ TUTARI],Tablo17106121316182022242[TARİH],"&gt;=01/02/2026",Tablo17106121316182022242[TARİH],"&lt;=28/02/2026",Tablo17106121316182022242[MÜŞTERİ ADI],'GİDER İCMAL'!A96)</f>
        <v>0</v>
      </c>
      <c r="D96" s="7"/>
      <c r="E96" s="7"/>
      <c r="F96" s="7"/>
      <c r="G96" s="7"/>
      <c r="H96" s="7"/>
      <c r="I96" s="7"/>
      <c r="J96" s="7"/>
      <c r="K96" s="7"/>
      <c r="L96" s="7"/>
      <c r="M96" s="7"/>
      <c r="N96" s="7">
        <f t="shared" si="2"/>
        <v>0</v>
      </c>
      <c r="O96" s="7"/>
      <c r="P96" s="32">
        <f t="shared" si="3"/>
        <v>0</v>
      </c>
      <c r="Q96" s="11"/>
      <c r="R96" s="12"/>
      <c r="S96" s="12"/>
      <c r="T96" s="12"/>
      <c r="U96" s="12"/>
      <c r="V96" s="12"/>
      <c r="W96" s="12"/>
      <c r="X96" s="12"/>
      <c r="Y96" s="12"/>
      <c r="Z96" s="12"/>
      <c r="AA96" s="12"/>
      <c r="AB96" s="12"/>
    </row>
    <row r="97" spans="1:28" ht="20.100000000000001" customHeight="1" x14ac:dyDescent="0.25">
      <c r="A97" s="6"/>
      <c r="B97" s="7">
        <f>+SUMIFS(Tablo17106121316182022242[SATIŞ TUTARI],Tablo17106121316182022242[TARİH],"&gt;=01/01/2026",Tablo17106121316182022242[TARİH],"&lt;=31/01/2026",Tablo17106121316182022242[MÜŞTERİ ADI],'GİDER İCMAL'!A97)</f>
        <v>0</v>
      </c>
      <c r="C97" s="7">
        <f>+SUMIFS(Tablo17106121316182022242[SATIŞ TUTARI],Tablo17106121316182022242[TARİH],"&gt;=01/02/2026",Tablo17106121316182022242[TARİH],"&lt;=28/02/2026",Tablo17106121316182022242[MÜŞTERİ ADI],'GİDER İCMAL'!A97)</f>
        <v>0</v>
      </c>
      <c r="D97" s="7"/>
      <c r="E97" s="7"/>
      <c r="F97" s="7"/>
      <c r="G97" s="7"/>
      <c r="H97" s="7"/>
      <c r="I97" s="7"/>
      <c r="J97" s="7"/>
      <c r="K97" s="7"/>
      <c r="L97" s="7"/>
      <c r="M97" s="7"/>
      <c r="N97" s="7">
        <f t="shared" si="2"/>
        <v>0</v>
      </c>
      <c r="O97" s="7"/>
      <c r="P97" s="32">
        <f t="shared" si="3"/>
        <v>0</v>
      </c>
      <c r="Q97" s="11"/>
      <c r="R97" s="12"/>
      <c r="S97" s="12"/>
      <c r="T97" s="12"/>
      <c r="U97" s="12"/>
      <c r="V97" s="12"/>
      <c r="W97" s="12"/>
      <c r="X97" s="12"/>
      <c r="Y97" s="12"/>
      <c r="Z97" s="12"/>
      <c r="AA97" s="12"/>
      <c r="AB97" s="12"/>
    </row>
    <row r="98" spans="1:28" ht="20.100000000000001" customHeight="1" x14ac:dyDescent="0.25">
      <c r="A98" s="6"/>
      <c r="B98" s="7">
        <f>+SUMIFS(Tablo17106121316182022242[SATIŞ TUTARI],Tablo17106121316182022242[TARİH],"&gt;=01/01/2026",Tablo17106121316182022242[TARİH],"&lt;=31/01/2026",Tablo17106121316182022242[MÜŞTERİ ADI],'GİDER İCMAL'!A98)</f>
        <v>0</v>
      </c>
      <c r="C98" s="7">
        <f>+SUMIFS(Tablo17106121316182022242[SATIŞ TUTARI],Tablo17106121316182022242[TARİH],"&gt;=01/02/2026",Tablo17106121316182022242[TARİH],"&lt;=28/02/2026",Tablo17106121316182022242[MÜŞTERİ ADI],'GİDER İCMAL'!A98)</f>
        <v>0</v>
      </c>
      <c r="D98" s="7"/>
      <c r="E98" s="7"/>
      <c r="F98" s="7"/>
      <c r="G98" s="7"/>
      <c r="H98" s="7"/>
      <c r="I98" s="7"/>
      <c r="J98" s="7"/>
      <c r="K98" s="7"/>
      <c r="L98" s="7"/>
      <c r="M98" s="7"/>
      <c r="N98" s="7">
        <f t="shared" si="2"/>
        <v>0</v>
      </c>
      <c r="O98" s="7"/>
      <c r="P98" s="32">
        <f t="shared" si="3"/>
        <v>0</v>
      </c>
      <c r="Q98" s="11"/>
      <c r="R98" s="12"/>
      <c r="S98" s="12"/>
      <c r="T98" s="12"/>
      <c r="U98" s="12"/>
      <c r="V98" s="12"/>
      <c r="W98" s="12"/>
      <c r="X98" s="12"/>
      <c r="Y98" s="12"/>
      <c r="Z98" s="12"/>
      <c r="AA98" s="12"/>
      <c r="AB98" s="12"/>
    </row>
    <row r="99" spans="1:28" ht="20.100000000000001" customHeight="1" x14ac:dyDescent="0.25">
      <c r="A99" s="6"/>
      <c r="B99" s="7">
        <f>+SUMIFS(Tablo17106121316182022242[SATIŞ TUTARI],Tablo17106121316182022242[TARİH],"&gt;=01/01/2026",Tablo17106121316182022242[TARİH],"&lt;=31/01/2026",Tablo17106121316182022242[MÜŞTERİ ADI],'GİDER İCMAL'!A99)</f>
        <v>0</v>
      </c>
      <c r="C99" s="7">
        <f>+SUMIFS(Tablo17106121316182022242[SATIŞ TUTARI],Tablo17106121316182022242[TARİH],"&gt;=01/02/2026",Tablo17106121316182022242[TARİH],"&lt;=28/02/2026",Tablo17106121316182022242[MÜŞTERİ ADI],'GİDER İCMAL'!A99)</f>
        <v>0</v>
      </c>
      <c r="D99" s="7"/>
      <c r="E99" s="7"/>
      <c r="F99" s="7"/>
      <c r="G99" s="7"/>
      <c r="H99" s="7"/>
      <c r="I99" s="7"/>
      <c r="J99" s="7"/>
      <c r="K99" s="7"/>
      <c r="L99" s="7"/>
      <c r="M99" s="7"/>
      <c r="N99" s="7">
        <f t="shared" si="2"/>
        <v>0</v>
      </c>
      <c r="O99" s="7"/>
      <c r="P99" s="32">
        <f t="shared" si="3"/>
        <v>0</v>
      </c>
      <c r="Q99" s="11"/>
      <c r="R99" s="12"/>
      <c r="S99" s="12"/>
      <c r="T99" s="12"/>
      <c r="U99" s="12"/>
      <c r="V99" s="12"/>
      <c r="W99" s="12"/>
      <c r="X99" s="12"/>
      <c r="Y99" s="12"/>
      <c r="Z99" s="12"/>
      <c r="AA99" s="12"/>
      <c r="AB99" s="12"/>
    </row>
    <row r="100" spans="1:28" ht="20.100000000000001" customHeight="1" x14ac:dyDescent="0.25">
      <c r="A100" s="6"/>
      <c r="B100" s="7">
        <f>+SUMIFS(Tablo17106121316182022242[SATIŞ TUTARI],Tablo17106121316182022242[TARİH],"&gt;=01/01/2026",Tablo17106121316182022242[TARİH],"&lt;=31/01/2026",Tablo17106121316182022242[MÜŞTERİ ADI],'GİDER İCMAL'!A100)</f>
        <v>0</v>
      </c>
      <c r="C100" s="7">
        <f>+SUMIFS(Tablo17106121316182022242[SATIŞ TUTARI],Tablo17106121316182022242[TARİH],"&gt;=01/02/2026",Tablo17106121316182022242[TARİH],"&lt;=28/02/2026",Tablo17106121316182022242[MÜŞTERİ ADI],'GİDER İCMAL'!A100)</f>
        <v>0</v>
      </c>
      <c r="D100" s="7"/>
      <c r="E100" s="7"/>
      <c r="F100" s="7"/>
      <c r="G100" s="7"/>
      <c r="H100" s="7"/>
      <c r="I100" s="7"/>
      <c r="J100" s="7"/>
      <c r="K100" s="7"/>
      <c r="L100" s="7"/>
      <c r="M100" s="7"/>
      <c r="N100" s="7">
        <f t="shared" si="2"/>
        <v>0</v>
      </c>
      <c r="O100" s="7"/>
      <c r="P100" s="32">
        <f t="shared" si="3"/>
        <v>0</v>
      </c>
      <c r="Q100" s="11"/>
      <c r="R100" s="12"/>
      <c r="S100" s="12"/>
      <c r="T100" s="12"/>
      <c r="U100" s="12"/>
      <c r="V100" s="12"/>
      <c r="W100" s="12"/>
      <c r="X100" s="12"/>
      <c r="Y100" s="12"/>
      <c r="Z100" s="12"/>
      <c r="AA100" s="12"/>
      <c r="AB100" s="12"/>
    </row>
    <row r="101" spans="1:28" ht="20.100000000000001" customHeight="1" x14ac:dyDescent="0.25">
      <c r="A101" s="6"/>
      <c r="B101" s="7">
        <f>+SUMIFS(Tablo17106121316182022242[SATIŞ TUTARI],Tablo17106121316182022242[TARİH],"&gt;=01/01/2026",Tablo17106121316182022242[TARİH],"&lt;=31/01/2026",Tablo17106121316182022242[MÜŞTERİ ADI],'GİDER İCMAL'!A101)</f>
        <v>0</v>
      </c>
      <c r="C101" s="7">
        <f>+SUMIFS(Tablo17106121316182022242[SATIŞ TUTARI],Tablo17106121316182022242[TARİH],"&gt;=01/02/2026",Tablo17106121316182022242[TARİH],"&lt;=28/02/2026",Tablo17106121316182022242[MÜŞTERİ ADI],'GİDER İCMAL'!A101)</f>
        <v>0</v>
      </c>
      <c r="D101" s="7"/>
      <c r="E101" s="7"/>
      <c r="F101" s="7"/>
      <c r="G101" s="7"/>
      <c r="H101" s="7"/>
      <c r="I101" s="7"/>
      <c r="J101" s="7"/>
      <c r="K101" s="7"/>
      <c r="L101" s="7"/>
      <c r="M101" s="7"/>
      <c r="N101" s="7">
        <f t="shared" si="2"/>
        <v>0</v>
      </c>
      <c r="O101" s="7"/>
      <c r="P101" s="32">
        <f t="shared" si="3"/>
        <v>0</v>
      </c>
      <c r="Q101" s="11"/>
      <c r="R101" s="12"/>
      <c r="S101" s="12"/>
      <c r="T101" s="12"/>
      <c r="U101" s="12"/>
      <c r="V101" s="12"/>
      <c r="W101" s="12"/>
      <c r="X101" s="12"/>
      <c r="Y101" s="12"/>
      <c r="Z101" s="12"/>
      <c r="AA101" s="12"/>
      <c r="AB101" s="12"/>
    </row>
    <row r="102" spans="1:28" ht="20.100000000000001" customHeight="1" x14ac:dyDescent="0.25">
      <c r="A102" s="6"/>
      <c r="B102" s="7">
        <f>+SUMIFS(Tablo17106121316182022242[SATIŞ TUTARI],Tablo17106121316182022242[TARİH],"&gt;=01/01/2026",Tablo17106121316182022242[TARİH],"&lt;=31/01/2026",Tablo17106121316182022242[MÜŞTERİ ADI],'GİDER İCMAL'!A102)</f>
        <v>0</v>
      </c>
      <c r="C102" s="7">
        <f>+SUMIFS(Tablo17106121316182022242[SATIŞ TUTARI],Tablo17106121316182022242[TARİH],"&gt;=01/02/2026",Tablo17106121316182022242[TARİH],"&lt;=28/02/2026",Tablo17106121316182022242[MÜŞTERİ ADI],'GİDER İCMAL'!A102)</f>
        <v>0</v>
      </c>
      <c r="D102" s="7"/>
      <c r="E102" s="7"/>
      <c r="F102" s="7"/>
      <c r="G102" s="7"/>
      <c r="H102" s="7"/>
      <c r="I102" s="7"/>
      <c r="J102" s="7"/>
      <c r="K102" s="7"/>
      <c r="L102" s="7"/>
      <c r="M102" s="7"/>
      <c r="N102" s="7">
        <f t="shared" si="2"/>
        <v>0</v>
      </c>
      <c r="O102" s="7"/>
      <c r="P102" s="32">
        <f t="shared" si="3"/>
        <v>0</v>
      </c>
      <c r="Q102" s="11"/>
      <c r="R102" s="12"/>
      <c r="S102" s="12"/>
      <c r="T102" s="12"/>
      <c r="U102" s="12"/>
      <c r="V102" s="12"/>
      <c r="W102" s="12"/>
      <c r="X102" s="12"/>
      <c r="Y102" s="12"/>
      <c r="Z102" s="12"/>
      <c r="AA102" s="12"/>
      <c r="AB102" s="12"/>
    </row>
    <row r="103" spans="1:28" ht="20.100000000000001" customHeight="1" x14ac:dyDescent="0.25">
      <c r="A103" s="6"/>
      <c r="B103" s="7">
        <f>+SUMIFS(Tablo17106121316182022242[SATIŞ TUTARI],Tablo17106121316182022242[TARİH],"&gt;=01/01/2026",Tablo17106121316182022242[TARİH],"&lt;=31/01/2026",Tablo17106121316182022242[MÜŞTERİ ADI],'GİDER İCMAL'!A103)</f>
        <v>0</v>
      </c>
      <c r="C103" s="7">
        <f>+SUMIFS(Tablo17106121316182022242[SATIŞ TUTARI],Tablo17106121316182022242[TARİH],"&gt;=01/02/2026",Tablo17106121316182022242[TARİH],"&lt;=28/02/2026",Tablo17106121316182022242[MÜŞTERİ ADI],'GİDER İCMAL'!A103)</f>
        <v>0</v>
      </c>
      <c r="D103" s="7"/>
      <c r="E103" s="7"/>
      <c r="F103" s="7"/>
      <c r="G103" s="7"/>
      <c r="H103" s="7"/>
      <c r="I103" s="7"/>
      <c r="J103" s="7"/>
      <c r="K103" s="7"/>
      <c r="L103" s="7"/>
      <c r="M103" s="7"/>
      <c r="N103" s="7">
        <f t="shared" si="2"/>
        <v>0</v>
      </c>
      <c r="O103" s="7"/>
      <c r="P103" s="32">
        <f t="shared" si="3"/>
        <v>0</v>
      </c>
      <c r="Q103" s="11"/>
      <c r="R103" s="12"/>
      <c r="S103" s="12"/>
      <c r="T103" s="12"/>
      <c r="U103" s="12"/>
      <c r="V103" s="12"/>
      <c r="W103" s="12"/>
      <c r="X103" s="12"/>
      <c r="Y103" s="12"/>
      <c r="Z103" s="12"/>
      <c r="AA103" s="12"/>
      <c r="AB103" s="12"/>
    </row>
    <row r="104" spans="1:28" ht="20.100000000000001" customHeight="1" x14ac:dyDescent="0.25">
      <c r="A104" s="6"/>
      <c r="B104" s="7">
        <f>+SUMIFS(Tablo17106121316182022242[SATIŞ TUTARI],Tablo17106121316182022242[TARİH],"&gt;=01/01/2026",Tablo17106121316182022242[TARİH],"&lt;=31/01/2026",Tablo17106121316182022242[MÜŞTERİ ADI],'GİDER İCMAL'!A104)</f>
        <v>0</v>
      </c>
      <c r="C104" s="7">
        <f>+SUMIFS(Tablo17106121316182022242[SATIŞ TUTARI],Tablo17106121316182022242[TARİH],"&gt;=01/02/2026",Tablo17106121316182022242[TARİH],"&lt;=28/02/2026",Tablo17106121316182022242[MÜŞTERİ ADI],'GİDER İCMAL'!A104)</f>
        <v>0</v>
      </c>
      <c r="D104" s="7"/>
      <c r="E104" s="7"/>
      <c r="F104" s="7"/>
      <c r="G104" s="7"/>
      <c r="H104" s="7"/>
      <c r="I104" s="7"/>
      <c r="J104" s="7"/>
      <c r="K104" s="7"/>
      <c r="L104" s="7"/>
      <c r="M104" s="7"/>
      <c r="N104" s="7">
        <f t="shared" si="2"/>
        <v>0</v>
      </c>
      <c r="O104" s="7"/>
      <c r="P104" s="32">
        <f t="shared" si="3"/>
        <v>0</v>
      </c>
      <c r="Q104" s="11"/>
      <c r="R104" s="12"/>
      <c r="S104" s="12"/>
      <c r="T104" s="12"/>
      <c r="U104" s="12"/>
      <c r="V104" s="12"/>
      <c r="W104" s="12"/>
      <c r="X104" s="12"/>
      <c r="Y104" s="12"/>
      <c r="Z104" s="12"/>
      <c r="AA104" s="12"/>
      <c r="AB104" s="12"/>
    </row>
    <row r="105" spans="1:28" ht="20.100000000000001" customHeight="1" x14ac:dyDescent="0.25">
      <c r="A105" s="6"/>
      <c r="B105" s="7">
        <f>+SUMIFS(Tablo17106121316182022242[SATIŞ TUTARI],Tablo17106121316182022242[TARİH],"&gt;=01/01/2026",Tablo17106121316182022242[TARİH],"&lt;=31/01/2026",Tablo17106121316182022242[MÜŞTERİ ADI],'GİDER İCMAL'!A105)</f>
        <v>0</v>
      </c>
      <c r="C105" s="7">
        <f>+SUMIFS(Tablo17106121316182022242[SATIŞ TUTARI],Tablo17106121316182022242[TARİH],"&gt;=01/02/2026",Tablo17106121316182022242[TARİH],"&lt;=28/02/2026",Tablo17106121316182022242[MÜŞTERİ ADI],'GİDER İCMAL'!A105)</f>
        <v>0</v>
      </c>
      <c r="D105" s="7"/>
      <c r="E105" s="7"/>
      <c r="F105" s="7"/>
      <c r="G105" s="7"/>
      <c r="H105" s="7"/>
      <c r="I105" s="7"/>
      <c r="J105" s="7"/>
      <c r="K105" s="7"/>
      <c r="L105" s="7"/>
      <c r="M105" s="7"/>
      <c r="N105" s="7">
        <f t="shared" si="2"/>
        <v>0</v>
      </c>
      <c r="O105" s="7"/>
      <c r="P105" s="32">
        <f t="shared" si="3"/>
        <v>0</v>
      </c>
      <c r="Q105" s="11"/>
      <c r="R105" s="12"/>
      <c r="S105" s="12"/>
      <c r="T105" s="12"/>
      <c r="U105" s="12"/>
      <c r="V105" s="12"/>
      <c r="W105" s="12"/>
      <c r="X105" s="12"/>
      <c r="Y105" s="12"/>
      <c r="Z105" s="12"/>
      <c r="AA105" s="12"/>
      <c r="AB105" s="12"/>
    </row>
    <row r="106" spans="1:28" ht="20.100000000000001" customHeight="1" x14ac:dyDescent="0.25">
      <c r="A106" s="6"/>
      <c r="B106" s="7">
        <f>+SUMIFS(Tablo17106121316182022242[SATIŞ TUTARI],Tablo17106121316182022242[TARİH],"&gt;=01/01/2026",Tablo17106121316182022242[TARİH],"&lt;=31/01/2026",Tablo17106121316182022242[MÜŞTERİ ADI],'GİDER İCMAL'!A106)</f>
        <v>0</v>
      </c>
      <c r="C106" s="7">
        <f>+SUMIFS(Tablo17106121316182022242[SATIŞ TUTARI],Tablo17106121316182022242[TARİH],"&gt;=01/02/2026",Tablo17106121316182022242[TARİH],"&lt;=28/02/2026",Tablo17106121316182022242[MÜŞTERİ ADI],'GİDER İCMAL'!A106)</f>
        <v>0</v>
      </c>
      <c r="D106" s="7"/>
      <c r="E106" s="7"/>
      <c r="F106" s="7"/>
      <c r="G106" s="7"/>
      <c r="H106" s="7"/>
      <c r="I106" s="7"/>
      <c r="J106" s="7"/>
      <c r="K106" s="7"/>
      <c r="L106" s="7"/>
      <c r="M106" s="7"/>
      <c r="N106" s="7">
        <f t="shared" si="2"/>
        <v>0</v>
      </c>
      <c r="O106" s="7"/>
      <c r="P106" s="32">
        <f t="shared" si="3"/>
        <v>0</v>
      </c>
      <c r="Q106" s="11"/>
      <c r="R106" s="12"/>
      <c r="S106" s="12"/>
      <c r="T106" s="12"/>
      <c r="U106" s="12"/>
      <c r="V106" s="12"/>
      <c r="W106" s="12"/>
      <c r="X106" s="12"/>
      <c r="Y106" s="12"/>
      <c r="Z106" s="12"/>
      <c r="AA106" s="12"/>
      <c r="AB106" s="12"/>
    </row>
    <row r="107" spans="1:28" ht="20.100000000000001" customHeight="1" x14ac:dyDescent="0.25">
      <c r="A107" s="6"/>
      <c r="B107" s="7">
        <f>+SUMIFS(Tablo17106121316182022242[SATIŞ TUTARI],Tablo17106121316182022242[TARİH],"&gt;=01/01/2026",Tablo17106121316182022242[TARİH],"&lt;=31/01/2026",Tablo17106121316182022242[MÜŞTERİ ADI],'GİDER İCMAL'!A107)</f>
        <v>0</v>
      </c>
      <c r="C107" s="7">
        <f>+SUMIFS(Tablo17106121316182022242[SATIŞ TUTARI],Tablo17106121316182022242[TARİH],"&gt;=01/02/2026",Tablo17106121316182022242[TARİH],"&lt;=28/02/2026",Tablo17106121316182022242[MÜŞTERİ ADI],'GİDER İCMAL'!A107)</f>
        <v>0</v>
      </c>
      <c r="D107" s="7"/>
      <c r="E107" s="7"/>
      <c r="F107" s="7"/>
      <c r="G107" s="7"/>
      <c r="H107" s="7"/>
      <c r="I107" s="7"/>
      <c r="J107" s="7"/>
      <c r="K107" s="7"/>
      <c r="L107" s="7"/>
      <c r="M107" s="7"/>
      <c r="N107" s="7">
        <f t="shared" si="2"/>
        <v>0</v>
      </c>
      <c r="O107" s="7"/>
      <c r="P107" s="32">
        <f t="shared" si="3"/>
        <v>0</v>
      </c>
      <c r="Q107" s="11"/>
      <c r="R107" s="12"/>
      <c r="S107" s="12"/>
      <c r="T107" s="12"/>
      <c r="U107" s="12"/>
      <c r="V107" s="12"/>
      <c r="W107" s="12"/>
      <c r="X107" s="12"/>
      <c r="Y107" s="12"/>
      <c r="Z107" s="12"/>
      <c r="AA107" s="12"/>
      <c r="AB107" s="12"/>
    </row>
    <row r="108" spans="1:28" ht="20.100000000000001" customHeight="1" x14ac:dyDescent="0.25">
      <c r="A108" s="6"/>
      <c r="B108" s="7">
        <f>+SUMIFS(Tablo17106121316182022242[SATIŞ TUTARI],Tablo17106121316182022242[TARİH],"&gt;=01/01/2026",Tablo17106121316182022242[TARİH],"&lt;=31/01/2026",Tablo17106121316182022242[MÜŞTERİ ADI],'GİDER İCMAL'!A108)</f>
        <v>0</v>
      </c>
      <c r="C108" s="7">
        <f>+SUMIFS(Tablo17106121316182022242[SATIŞ TUTARI],Tablo17106121316182022242[TARİH],"&gt;=01/02/2026",Tablo17106121316182022242[TARİH],"&lt;=28/02/2026",Tablo17106121316182022242[MÜŞTERİ ADI],'GİDER İCMAL'!A108)</f>
        <v>0</v>
      </c>
      <c r="D108" s="7"/>
      <c r="E108" s="7"/>
      <c r="F108" s="7"/>
      <c r="G108" s="7"/>
      <c r="H108" s="7"/>
      <c r="I108" s="7"/>
      <c r="J108" s="7"/>
      <c r="K108" s="7"/>
      <c r="L108" s="7"/>
      <c r="M108" s="7"/>
      <c r="N108" s="7">
        <f t="shared" si="2"/>
        <v>0</v>
      </c>
      <c r="O108" s="7"/>
      <c r="P108" s="32">
        <f t="shared" si="3"/>
        <v>0</v>
      </c>
      <c r="Q108" s="11"/>
      <c r="R108" s="12"/>
      <c r="S108" s="12"/>
      <c r="T108" s="12"/>
      <c r="U108" s="12"/>
      <c r="V108" s="12"/>
      <c r="W108" s="12"/>
      <c r="X108" s="12"/>
      <c r="Y108" s="12"/>
      <c r="Z108" s="12"/>
      <c r="AA108" s="12"/>
      <c r="AB108" s="12"/>
    </row>
    <row r="109" spans="1:28" ht="20.100000000000001" customHeight="1" x14ac:dyDescent="0.25">
      <c r="A109" s="6"/>
      <c r="B109" s="7">
        <f>+SUMIFS(Tablo17106121316182022242[SATIŞ TUTARI],Tablo17106121316182022242[TARİH],"&gt;=01/01/2026",Tablo17106121316182022242[TARİH],"&lt;=31/01/2026",Tablo17106121316182022242[MÜŞTERİ ADI],'GİDER İCMAL'!A109)</f>
        <v>0</v>
      </c>
      <c r="C109" s="7">
        <f>+SUMIFS(Tablo17106121316182022242[SATIŞ TUTARI],Tablo17106121316182022242[TARİH],"&gt;=01/02/2026",Tablo17106121316182022242[TARİH],"&lt;=28/02/2026",Tablo17106121316182022242[MÜŞTERİ ADI],'GİDER İCMAL'!A109)</f>
        <v>0</v>
      </c>
      <c r="D109" s="7"/>
      <c r="E109" s="7"/>
      <c r="F109" s="7"/>
      <c r="G109" s="7"/>
      <c r="H109" s="7"/>
      <c r="I109" s="7"/>
      <c r="J109" s="7"/>
      <c r="K109" s="7"/>
      <c r="L109" s="7"/>
      <c r="M109" s="7"/>
      <c r="N109" s="7">
        <f t="shared" si="2"/>
        <v>0</v>
      </c>
      <c r="O109" s="7"/>
      <c r="P109" s="32">
        <f t="shared" si="3"/>
        <v>0</v>
      </c>
      <c r="Q109" s="11"/>
      <c r="R109" s="12"/>
      <c r="S109" s="12"/>
      <c r="T109" s="12"/>
      <c r="U109" s="12"/>
      <c r="V109" s="12"/>
      <c r="W109" s="12"/>
      <c r="X109" s="12"/>
      <c r="Y109" s="12"/>
      <c r="Z109" s="12"/>
      <c r="AA109" s="12"/>
      <c r="AB109" s="12"/>
    </row>
    <row r="110" spans="1:28" ht="20.100000000000001" customHeight="1" x14ac:dyDescent="0.25">
      <c r="A110" s="6"/>
      <c r="B110" s="7">
        <f>+SUMIFS(Tablo17106121316182022242[SATIŞ TUTARI],Tablo17106121316182022242[TARİH],"&gt;=01/01/2026",Tablo17106121316182022242[TARİH],"&lt;=31/01/2026",Tablo17106121316182022242[MÜŞTERİ ADI],'GİDER İCMAL'!A110)</f>
        <v>0</v>
      </c>
      <c r="C110" s="7">
        <f>+SUMIFS(Tablo17106121316182022242[SATIŞ TUTARI],Tablo17106121316182022242[TARİH],"&gt;=01/02/2026",Tablo17106121316182022242[TARİH],"&lt;=28/02/2026",Tablo17106121316182022242[MÜŞTERİ ADI],'GİDER İCMAL'!A110)</f>
        <v>0</v>
      </c>
      <c r="D110" s="7"/>
      <c r="E110" s="7"/>
      <c r="F110" s="7"/>
      <c r="G110" s="7"/>
      <c r="H110" s="7"/>
      <c r="I110" s="7"/>
      <c r="J110" s="7"/>
      <c r="K110" s="7"/>
      <c r="L110" s="7"/>
      <c r="M110" s="7"/>
      <c r="N110" s="7">
        <f t="shared" si="2"/>
        <v>0</v>
      </c>
      <c r="O110" s="7"/>
      <c r="P110" s="32">
        <f t="shared" si="3"/>
        <v>0</v>
      </c>
      <c r="Q110" s="11"/>
      <c r="R110" s="12"/>
      <c r="S110" s="12"/>
      <c r="T110" s="12"/>
      <c r="U110" s="12"/>
      <c r="V110" s="12"/>
      <c r="W110" s="12"/>
      <c r="X110" s="12"/>
      <c r="Y110" s="12"/>
      <c r="Z110" s="12"/>
      <c r="AA110" s="12"/>
      <c r="AB110" s="12"/>
    </row>
    <row r="111" spans="1:28" ht="20.100000000000001" customHeight="1" x14ac:dyDescent="0.25">
      <c r="A111" s="6"/>
      <c r="B111" s="7">
        <f>+SUMIFS(Tablo17106121316182022242[SATIŞ TUTARI],Tablo17106121316182022242[TARİH],"&gt;=01/01/2026",Tablo17106121316182022242[TARİH],"&lt;=31/01/2026",Tablo17106121316182022242[MÜŞTERİ ADI],'GİDER İCMAL'!A111)</f>
        <v>0</v>
      </c>
      <c r="C111" s="7">
        <f>+SUMIFS(Tablo17106121316182022242[SATIŞ TUTARI],Tablo17106121316182022242[TARİH],"&gt;=01/02/2026",Tablo17106121316182022242[TARİH],"&lt;=28/02/2026",Tablo17106121316182022242[MÜŞTERİ ADI],'GİDER İCMAL'!A111)</f>
        <v>0</v>
      </c>
      <c r="D111" s="7"/>
      <c r="E111" s="7"/>
      <c r="F111" s="7"/>
      <c r="G111" s="7"/>
      <c r="H111" s="7"/>
      <c r="I111" s="7"/>
      <c r="J111" s="7"/>
      <c r="K111" s="7"/>
      <c r="L111" s="7"/>
      <c r="M111" s="7"/>
      <c r="N111" s="7">
        <f t="shared" si="2"/>
        <v>0</v>
      </c>
      <c r="O111" s="7"/>
      <c r="P111" s="32">
        <f t="shared" si="3"/>
        <v>0</v>
      </c>
      <c r="Q111" s="11"/>
      <c r="R111" s="12"/>
      <c r="S111" s="12"/>
      <c r="T111" s="12"/>
      <c r="U111" s="12"/>
      <c r="V111" s="12"/>
      <c r="W111" s="12"/>
      <c r="X111" s="12"/>
      <c r="Y111" s="12"/>
      <c r="Z111" s="12"/>
      <c r="AA111" s="12"/>
      <c r="AB111" s="12"/>
    </row>
    <row r="112" spans="1:28" ht="20.100000000000001" customHeight="1" x14ac:dyDescent="0.25">
      <c r="A112" s="6"/>
      <c r="B112" s="7">
        <f>+SUMIFS(Tablo17106121316182022242[SATIŞ TUTARI],Tablo17106121316182022242[TARİH],"&gt;=01/01/2026",Tablo17106121316182022242[TARİH],"&lt;=31/01/2026",Tablo17106121316182022242[MÜŞTERİ ADI],'GİDER İCMAL'!A112)</f>
        <v>0</v>
      </c>
      <c r="C112" s="7">
        <f>+SUMIFS(Tablo17106121316182022242[SATIŞ TUTARI],Tablo17106121316182022242[TARİH],"&gt;=01/02/2026",Tablo17106121316182022242[TARİH],"&lt;=28/02/2026",Tablo17106121316182022242[MÜŞTERİ ADI],'GİDER İCMAL'!A112)</f>
        <v>0</v>
      </c>
      <c r="D112" s="7"/>
      <c r="E112" s="7"/>
      <c r="F112" s="7"/>
      <c r="G112" s="7"/>
      <c r="H112" s="7"/>
      <c r="I112" s="7"/>
      <c r="J112" s="7"/>
      <c r="K112" s="7"/>
      <c r="L112" s="7"/>
      <c r="M112" s="7"/>
      <c r="N112" s="7">
        <f t="shared" si="2"/>
        <v>0</v>
      </c>
      <c r="O112" s="7"/>
      <c r="P112" s="32">
        <f t="shared" si="3"/>
        <v>0</v>
      </c>
      <c r="Q112" s="11"/>
      <c r="R112" s="12"/>
      <c r="S112" s="12"/>
      <c r="T112" s="12"/>
      <c r="U112" s="12"/>
      <c r="V112" s="12"/>
      <c r="W112" s="12"/>
      <c r="X112" s="12"/>
      <c r="Y112" s="12"/>
      <c r="Z112" s="12"/>
      <c r="AA112" s="12"/>
      <c r="AB112" s="12"/>
    </row>
    <row r="113" spans="1:28" ht="20.100000000000001" customHeight="1" x14ac:dyDescent="0.25">
      <c r="A113" s="6"/>
      <c r="B113" s="7">
        <f>+SUMIFS(Tablo17106121316182022242[SATIŞ TUTARI],Tablo17106121316182022242[TARİH],"&gt;=01/01/2026",Tablo17106121316182022242[TARİH],"&lt;=31/01/2026",Tablo17106121316182022242[MÜŞTERİ ADI],'GİDER İCMAL'!A113)</f>
        <v>0</v>
      </c>
      <c r="C113" s="7">
        <f>+SUMIFS(Tablo17106121316182022242[SATIŞ TUTARI],Tablo17106121316182022242[TARİH],"&gt;=01/02/2026",Tablo17106121316182022242[TARİH],"&lt;=28/02/2026",Tablo17106121316182022242[MÜŞTERİ ADI],'GİDER İCMAL'!A113)</f>
        <v>0</v>
      </c>
      <c r="D113" s="7"/>
      <c r="E113" s="7"/>
      <c r="F113" s="7"/>
      <c r="G113" s="7"/>
      <c r="H113" s="7"/>
      <c r="I113" s="7"/>
      <c r="J113" s="7"/>
      <c r="K113" s="7"/>
      <c r="L113" s="7"/>
      <c r="M113" s="7"/>
      <c r="N113" s="7">
        <f t="shared" si="2"/>
        <v>0</v>
      </c>
      <c r="O113" s="7"/>
      <c r="P113" s="32">
        <f t="shared" si="3"/>
        <v>0</v>
      </c>
      <c r="Q113" s="11"/>
      <c r="R113" s="12"/>
      <c r="S113" s="12"/>
      <c r="T113" s="12"/>
      <c r="U113" s="12"/>
      <c r="V113" s="12"/>
      <c r="W113" s="12"/>
      <c r="X113" s="12"/>
      <c r="Y113" s="12"/>
      <c r="Z113" s="12"/>
      <c r="AA113" s="12"/>
      <c r="AB113" s="12"/>
    </row>
    <row r="114" spans="1:28" ht="20.100000000000001" customHeight="1" x14ac:dyDescent="0.25">
      <c r="A114" s="6"/>
      <c r="B114" s="7">
        <f>+SUMIFS(Tablo17106121316182022242[SATIŞ TUTARI],Tablo17106121316182022242[TARİH],"&gt;=01/01/2026",Tablo17106121316182022242[TARİH],"&lt;=31/01/2026",Tablo17106121316182022242[MÜŞTERİ ADI],'GİDER İCMAL'!A114)</f>
        <v>0</v>
      </c>
      <c r="C114" s="7">
        <f>+SUMIFS(Tablo17106121316182022242[SATIŞ TUTARI],Tablo17106121316182022242[TARİH],"&gt;=01/02/2026",Tablo17106121316182022242[TARİH],"&lt;=28/02/2026",Tablo17106121316182022242[MÜŞTERİ ADI],'GİDER İCMAL'!A114)</f>
        <v>0</v>
      </c>
      <c r="D114" s="7"/>
      <c r="E114" s="7"/>
      <c r="F114" s="7"/>
      <c r="G114" s="7"/>
      <c r="H114" s="7"/>
      <c r="I114" s="7"/>
      <c r="J114" s="7"/>
      <c r="K114" s="7"/>
      <c r="L114" s="7"/>
      <c r="M114" s="7"/>
      <c r="N114" s="7">
        <f t="shared" si="2"/>
        <v>0</v>
      </c>
      <c r="O114" s="7"/>
      <c r="P114" s="32">
        <f t="shared" si="3"/>
        <v>0</v>
      </c>
      <c r="Q114" s="11"/>
      <c r="R114" s="12"/>
      <c r="S114" s="12"/>
      <c r="T114" s="12"/>
      <c r="U114" s="12"/>
      <c r="V114" s="12"/>
      <c r="W114" s="12"/>
      <c r="X114" s="12"/>
      <c r="Y114" s="12"/>
      <c r="Z114" s="12"/>
      <c r="AA114" s="12"/>
      <c r="AB114" s="12"/>
    </row>
    <row r="115" spans="1:28" ht="20.100000000000001" customHeight="1" x14ac:dyDescent="0.25">
      <c r="A115" s="6"/>
      <c r="B115" s="7">
        <f>+SUMIFS(Tablo17106121316182022242[SATIŞ TUTARI],Tablo17106121316182022242[TARİH],"&gt;=01/01/2026",Tablo17106121316182022242[TARİH],"&lt;=31/01/2026",Tablo17106121316182022242[MÜŞTERİ ADI],'GİDER İCMAL'!A115)</f>
        <v>0</v>
      </c>
      <c r="C115" s="7">
        <f>+SUMIFS(Tablo17106121316182022242[SATIŞ TUTARI],Tablo17106121316182022242[TARİH],"&gt;=01/02/2026",Tablo17106121316182022242[TARİH],"&lt;=28/02/2026",Tablo17106121316182022242[MÜŞTERİ ADI],'GİDER İCMAL'!A115)</f>
        <v>0</v>
      </c>
      <c r="D115" s="7"/>
      <c r="E115" s="7"/>
      <c r="F115" s="7"/>
      <c r="G115" s="7"/>
      <c r="H115" s="7"/>
      <c r="I115" s="7"/>
      <c r="J115" s="7"/>
      <c r="K115" s="7"/>
      <c r="L115" s="7"/>
      <c r="M115" s="7"/>
      <c r="N115" s="7">
        <f t="shared" si="2"/>
        <v>0</v>
      </c>
      <c r="O115" s="7"/>
      <c r="P115" s="32">
        <f t="shared" si="3"/>
        <v>0</v>
      </c>
      <c r="Q115" s="11"/>
      <c r="R115" s="12"/>
      <c r="S115" s="12"/>
      <c r="T115" s="12"/>
      <c r="U115" s="12"/>
      <c r="V115" s="12"/>
      <c r="W115" s="12"/>
      <c r="X115" s="12"/>
      <c r="Y115" s="12"/>
      <c r="Z115" s="12"/>
      <c r="AA115" s="12"/>
      <c r="AB115" s="12"/>
    </row>
    <row r="116" spans="1:28" ht="20.100000000000001" customHeight="1" x14ac:dyDescent="0.25">
      <c r="A116" s="6"/>
      <c r="B116" s="7">
        <f>+SUMIFS(Tablo17106121316182022242[SATIŞ TUTARI],Tablo17106121316182022242[TARİH],"&gt;=01/01/2026",Tablo17106121316182022242[TARİH],"&lt;=31/01/2026",Tablo17106121316182022242[MÜŞTERİ ADI],'GİDER İCMAL'!A116)</f>
        <v>0</v>
      </c>
      <c r="C116" s="7">
        <f>+SUMIFS(Tablo17106121316182022242[SATIŞ TUTARI],Tablo17106121316182022242[TARİH],"&gt;=01/02/2026",Tablo17106121316182022242[TARİH],"&lt;=28/02/2026",Tablo17106121316182022242[MÜŞTERİ ADI],'GİDER İCMAL'!A116)</f>
        <v>0</v>
      </c>
      <c r="D116" s="7"/>
      <c r="E116" s="7"/>
      <c r="F116" s="7"/>
      <c r="G116" s="7"/>
      <c r="H116" s="7"/>
      <c r="I116" s="7"/>
      <c r="J116" s="7"/>
      <c r="K116" s="7"/>
      <c r="L116" s="7"/>
      <c r="M116" s="7"/>
      <c r="N116" s="7">
        <f t="shared" si="2"/>
        <v>0</v>
      </c>
      <c r="O116" s="7"/>
      <c r="P116" s="32">
        <f t="shared" si="3"/>
        <v>0</v>
      </c>
      <c r="Q116" s="11"/>
      <c r="R116" s="12"/>
      <c r="S116" s="12"/>
      <c r="T116" s="12"/>
      <c r="U116" s="12"/>
      <c r="V116" s="12"/>
      <c r="W116" s="12"/>
      <c r="X116" s="12"/>
      <c r="Y116" s="12"/>
      <c r="Z116" s="12"/>
      <c r="AA116" s="12"/>
      <c r="AB116" s="12"/>
    </row>
    <row r="117" spans="1:28" ht="20.100000000000001" customHeight="1" x14ac:dyDescent="0.25">
      <c r="A117" s="6"/>
      <c r="B117" s="7">
        <f>+SUMIFS(Tablo17106121316182022242[SATIŞ TUTARI],Tablo17106121316182022242[TARİH],"&gt;=01/01/2026",Tablo17106121316182022242[TARİH],"&lt;=31/01/2026",Tablo17106121316182022242[MÜŞTERİ ADI],'GİDER İCMAL'!A117)</f>
        <v>0</v>
      </c>
      <c r="C117" s="7">
        <f>+SUMIFS(Tablo17106121316182022242[SATIŞ TUTARI],Tablo17106121316182022242[TARİH],"&gt;=01/02/2026",Tablo17106121316182022242[TARİH],"&lt;=28/02/2026",Tablo17106121316182022242[MÜŞTERİ ADI],'GİDER İCMAL'!A117)</f>
        <v>0</v>
      </c>
      <c r="D117" s="7"/>
      <c r="E117" s="7"/>
      <c r="F117" s="7"/>
      <c r="G117" s="7"/>
      <c r="H117" s="7"/>
      <c r="I117" s="7"/>
      <c r="J117" s="7"/>
      <c r="K117" s="7"/>
      <c r="L117" s="7"/>
      <c r="M117" s="7"/>
      <c r="N117" s="7">
        <f t="shared" si="2"/>
        <v>0</v>
      </c>
      <c r="O117" s="7"/>
      <c r="P117" s="32">
        <f t="shared" si="3"/>
        <v>0</v>
      </c>
      <c r="Q117" s="11"/>
      <c r="R117" s="12"/>
      <c r="S117" s="12"/>
      <c r="T117" s="12"/>
      <c r="U117" s="12"/>
      <c r="V117" s="12"/>
      <c r="W117" s="12"/>
      <c r="X117" s="12"/>
      <c r="Y117" s="12"/>
      <c r="Z117" s="12"/>
      <c r="AA117" s="12"/>
      <c r="AB117" s="12"/>
    </row>
    <row r="118" spans="1:28" ht="20.100000000000001" customHeight="1" x14ac:dyDescent="0.25">
      <c r="A118" s="6"/>
      <c r="B118" s="7">
        <f>+SUMIFS(Tablo17106121316182022242[SATIŞ TUTARI],Tablo17106121316182022242[TARİH],"&gt;=01/01/2026",Tablo17106121316182022242[TARİH],"&lt;=31/01/2026",Tablo17106121316182022242[MÜŞTERİ ADI],'GİDER İCMAL'!A118)</f>
        <v>0</v>
      </c>
      <c r="C118" s="7">
        <f>+SUMIFS(Tablo17106121316182022242[SATIŞ TUTARI],Tablo17106121316182022242[TARİH],"&gt;=01/02/2026",Tablo17106121316182022242[TARİH],"&lt;=28/02/2026",Tablo17106121316182022242[MÜŞTERİ ADI],'GİDER İCMAL'!A118)</f>
        <v>0</v>
      </c>
      <c r="D118" s="7"/>
      <c r="E118" s="7"/>
      <c r="F118" s="7"/>
      <c r="G118" s="7"/>
      <c r="H118" s="7"/>
      <c r="I118" s="7"/>
      <c r="J118" s="7"/>
      <c r="K118" s="7"/>
      <c r="L118" s="7"/>
      <c r="M118" s="7"/>
      <c r="N118" s="7">
        <f t="shared" si="2"/>
        <v>0</v>
      </c>
      <c r="O118" s="7"/>
      <c r="P118" s="32">
        <f t="shared" si="3"/>
        <v>0</v>
      </c>
      <c r="Q118" s="11"/>
      <c r="R118" s="12"/>
      <c r="S118" s="12"/>
      <c r="T118" s="12"/>
      <c r="U118" s="12"/>
      <c r="V118" s="12"/>
      <c r="W118" s="12"/>
      <c r="X118" s="12"/>
      <c r="Y118" s="12"/>
      <c r="Z118" s="12"/>
      <c r="AA118" s="12"/>
      <c r="AB118" s="12"/>
    </row>
    <row r="119" spans="1:28" ht="20.100000000000001" customHeight="1" x14ac:dyDescent="0.25">
      <c r="A119" s="6"/>
      <c r="B119" s="7">
        <f>+SUMIFS(Tablo17106121316182022242[SATIŞ TUTARI],Tablo17106121316182022242[TARİH],"&gt;=01/01/2026",Tablo17106121316182022242[TARİH],"&lt;=31/01/2026",Tablo17106121316182022242[MÜŞTERİ ADI],'GİDER İCMAL'!A119)</f>
        <v>0</v>
      </c>
      <c r="C119" s="7">
        <f>+SUMIFS(Tablo17106121316182022242[SATIŞ TUTARI],Tablo17106121316182022242[TARİH],"&gt;=01/02/2026",Tablo17106121316182022242[TARİH],"&lt;=28/02/2026",Tablo17106121316182022242[MÜŞTERİ ADI],'GİDER İCMAL'!A119)</f>
        <v>0</v>
      </c>
      <c r="D119" s="7"/>
      <c r="E119" s="7"/>
      <c r="F119" s="7"/>
      <c r="G119" s="7"/>
      <c r="H119" s="7"/>
      <c r="I119" s="7"/>
      <c r="J119" s="7"/>
      <c r="K119" s="7"/>
      <c r="L119" s="7"/>
      <c r="M119" s="7"/>
      <c r="N119" s="7">
        <f t="shared" si="2"/>
        <v>0</v>
      </c>
      <c r="O119" s="7"/>
      <c r="P119" s="32">
        <f t="shared" si="3"/>
        <v>0</v>
      </c>
      <c r="Q119" s="11"/>
      <c r="R119" s="12"/>
      <c r="S119" s="12"/>
      <c r="T119" s="12"/>
      <c r="U119" s="12"/>
      <c r="V119" s="12"/>
      <c r="W119" s="12"/>
      <c r="X119" s="12"/>
      <c r="Y119" s="12"/>
      <c r="Z119" s="12"/>
      <c r="AA119" s="12"/>
      <c r="AB119" s="12"/>
    </row>
    <row r="120" spans="1:28" ht="20.100000000000001" customHeight="1" x14ac:dyDescent="0.25">
      <c r="A120" s="6"/>
      <c r="B120" s="7">
        <f>+SUMIFS(Tablo17106121316182022242[SATIŞ TUTARI],Tablo17106121316182022242[TARİH],"&gt;=01/01/2026",Tablo17106121316182022242[TARİH],"&lt;=31/01/2026",Tablo17106121316182022242[MÜŞTERİ ADI],'GİDER İCMAL'!A120)</f>
        <v>0</v>
      </c>
      <c r="C120" s="7">
        <f>+SUMIFS(Tablo17106121316182022242[SATIŞ TUTARI],Tablo17106121316182022242[TARİH],"&gt;=01/02/2026",Tablo17106121316182022242[TARİH],"&lt;=28/02/2026",Tablo17106121316182022242[MÜŞTERİ ADI],'GİDER İCMAL'!A120)</f>
        <v>0</v>
      </c>
      <c r="D120" s="7"/>
      <c r="E120" s="7"/>
      <c r="F120" s="7"/>
      <c r="G120" s="7"/>
      <c r="H120" s="7"/>
      <c r="I120" s="7"/>
      <c r="J120" s="7"/>
      <c r="K120" s="7"/>
      <c r="L120" s="7"/>
      <c r="M120" s="7"/>
      <c r="N120" s="7">
        <f t="shared" si="2"/>
        <v>0</v>
      </c>
      <c r="O120" s="7"/>
      <c r="P120" s="32">
        <f t="shared" si="3"/>
        <v>0</v>
      </c>
      <c r="Q120" s="11"/>
      <c r="R120" s="12"/>
      <c r="S120" s="12"/>
      <c r="T120" s="12"/>
      <c r="U120" s="12"/>
      <c r="V120" s="12"/>
      <c r="W120" s="12"/>
      <c r="X120" s="12"/>
      <c r="Y120" s="12"/>
      <c r="Z120" s="12"/>
      <c r="AA120" s="12"/>
      <c r="AB120" s="12"/>
    </row>
    <row r="121" spans="1:28" ht="20.100000000000001" customHeight="1" x14ac:dyDescent="0.25">
      <c r="A121" s="6"/>
      <c r="B121" s="7">
        <f>+SUMIFS(Tablo17106121316182022242[SATIŞ TUTARI],Tablo17106121316182022242[TARİH],"&gt;=01/01/2026",Tablo17106121316182022242[TARİH],"&lt;=31/01/2026",Tablo17106121316182022242[MÜŞTERİ ADI],'GİDER İCMAL'!A121)</f>
        <v>0</v>
      </c>
      <c r="C121" s="7">
        <f>+SUMIFS(Tablo17106121316182022242[SATIŞ TUTARI],Tablo17106121316182022242[TARİH],"&gt;=01/02/2026",Tablo17106121316182022242[TARİH],"&lt;=28/02/2026",Tablo17106121316182022242[MÜŞTERİ ADI],'GİDER İCMAL'!A121)</f>
        <v>0</v>
      </c>
      <c r="D121" s="7"/>
      <c r="E121" s="7"/>
      <c r="F121" s="7"/>
      <c r="G121" s="7"/>
      <c r="H121" s="7"/>
      <c r="I121" s="7"/>
      <c r="J121" s="7"/>
      <c r="K121" s="7"/>
      <c r="L121" s="7"/>
      <c r="M121" s="7"/>
      <c r="N121" s="7">
        <f t="shared" si="2"/>
        <v>0</v>
      </c>
      <c r="O121" s="7"/>
      <c r="P121" s="32">
        <f t="shared" si="3"/>
        <v>0</v>
      </c>
      <c r="Q121" s="11"/>
      <c r="R121" s="12"/>
      <c r="S121" s="12"/>
      <c r="T121" s="12"/>
      <c r="U121" s="12"/>
      <c r="V121" s="12"/>
      <c r="W121" s="12"/>
      <c r="X121" s="12"/>
      <c r="Y121" s="12"/>
      <c r="Z121" s="12"/>
      <c r="AA121" s="12"/>
      <c r="AB121" s="12"/>
    </row>
    <row r="122" spans="1:28" ht="20.100000000000001" customHeight="1" x14ac:dyDescent="0.25">
      <c r="A122" s="5"/>
      <c r="B122" s="8">
        <f t="shared" ref="B122:M122" si="4">SUM(B3:B121)</f>
        <v>0</v>
      </c>
      <c r="C122" s="8">
        <f t="shared" si="4"/>
        <v>0</v>
      </c>
      <c r="D122" s="8">
        <f t="shared" si="4"/>
        <v>0</v>
      </c>
      <c r="E122" s="8">
        <f t="shared" si="4"/>
        <v>0</v>
      </c>
      <c r="F122" s="8">
        <f t="shared" si="4"/>
        <v>0</v>
      </c>
      <c r="G122" s="8">
        <f t="shared" si="4"/>
        <v>0</v>
      </c>
      <c r="H122" s="8">
        <f t="shared" si="4"/>
        <v>0</v>
      </c>
      <c r="I122" s="8">
        <f t="shared" si="4"/>
        <v>0</v>
      </c>
      <c r="J122" s="8">
        <f t="shared" si="4"/>
        <v>0</v>
      </c>
      <c r="K122" s="8">
        <f t="shared" si="4"/>
        <v>0</v>
      </c>
      <c r="L122" s="8">
        <f t="shared" si="4"/>
        <v>0</v>
      </c>
      <c r="M122" s="8">
        <f t="shared" si="4"/>
        <v>0</v>
      </c>
      <c r="N122" s="8">
        <f>SUM(N3:N121)</f>
        <v>0</v>
      </c>
      <c r="O122" s="8">
        <f>SUM(O3:O121)</f>
        <v>0</v>
      </c>
      <c r="P122" s="13">
        <f>+N122-O122</f>
        <v>0</v>
      </c>
      <c r="Q122" s="11">
        <f>SUM(Q3:Q121)</f>
        <v>0</v>
      </c>
      <c r="R122" s="12">
        <f t="shared" ref="R122:AB122" si="5">SUM(R3:R121)</f>
        <v>0</v>
      </c>
      <c r="S122" s="12">
        <f t="shared" si="5"/>
        <v>0</v>
      </c>
      <c r="T122" s="12">
        <f t="shared" si="5"/>
        <v>0</v>
      </c>
      <c r="U122" s="12">
        <f t="shared" si="5"/>
        <v>0</v>
      </c>
      <c r="V122" s="12">
        <f t="shared" si="5"/>
        <v>0</v>
      </c>
      <c r="W122" s="12">
        <f t="shared" si="5"/>
        <v>0</v>
      </c>
      <c r="X122" s="12">
        <f t="shared" si="5"/>
        <v>0</v>
      </c>
      <c r="Y122" s="12">
        <f t="shared" si="5"/>
        <v>0</v>
      </c>
      <c r="Z122" s="12">
        <f t="shared" si="5"/>
        <v>0</v>
      </c>
      <c r="AA122" s="12">
        <f t="shared" si="5"/>
        <v>0</v>
      </c>
      <c r="AB122" s="12">
        <f t="shared" si="5"/>
        <v>0</v>
      </c>
    </row>
    <row r="123" spans="1:28" ht="18.75" x14ac:dyDescent="0.25">
      <c r="B123" s="4"/>
      <c r="C123" s="4"/>
      <c r="D123" s="4"/>
      <c r="E123" s="4"/>
      <c r="F123" s="4"/>
      <c r="G123" s="4"/>
      <c r="H123" s="4"/>
      <c r="I123" s="4"/>
      <c r="J123" s="4"/>
      <c r="K123" s="4"/>
      <c r="L123" s="4"/>
      <c r="M123" s="4"/>
      <c r="N123" s="4"/>
      <c r="O123" s="4"/>
      <c r="P123" s="19" t="str">
        <f>+IF(Q123=P122,"HATA YOK","HATA VAR")</f>
        <v>HATA YOK</v>
      </c>
      <c r="Q123" s="103">
        <f>+SUM(Q122:AB122)</f>
        <v>0</v>
      </c>
      <c r="R123" s="104"/>
      <c r="S123" s="104"/>
      <c r="T123" s="104"/>
      <c r="U123" s="104"/>
      <c r="V123" s="104"/>
      <c r="W123" s="104"/>
      <c r="X123" s="104"/>
      <c r="Y123" s="104"/>
      <c r="Z123" s="104"/>
      <c r="AA123" s="104"/>
      <c r="AB123" s="105"/>
    </row>
    <row r="124" spans="1:28" x14ac:dyDescent="0.25">
      <c r="B124" s="4"/>
      <c r="C124" s="4"/>
      <c r="D124" s="4"/>
      <c r="E124" s="4"/>
      <c r="F124" s="4"/>
      <c r="G124" s="4"/>
      <c r="H124" s="4"/>
      <c r="I124" s="4"/>
      <c r="J124" s="4"/>
      <c r="K124" s="4"/>
      <c r="L124" s="4"/>
      <c r="M124" s="4"/>
      <c r="N124" s="4"/>
      <c r="O124" s="4"/>
      <c r="P124" s="4"/>
    </row>
    <row r="125" spans="1:28" x14ac:dyDescent="0.25">
      <c r="B125" s="4"/>
      <c r="C125" s="4"/>
      <c r="D125" s="4"/>
      <c r="E125" s="4"/>
      <c r="F125" s="4"/>
      <c r="G125" s="4"/>
      <c r="H125" s="4"/>
      <c r="I125" s="4"/>
      <c r="J125" s="4"/>
      <c r="K125" s="4"/>
      <c r="L125" s="4"/>
      <c r="M125" s="4"/>
      <c r="N125" s="4"/>
      <c r="O125" s="4"/>
      <c r="P125" s="4"/>
    </row>
    <row r="126" spans="1:28" x14ac:dyDescent="0.25">
      <c r="B126" s="4"/>
      <c r="C126" s="4"/>
      <c r="D126" s="4"/>
      <c r="E126" s="4"/>
      <c r="F126" s="4"/>
      <c r="G126" s="4"/>
      <c r="H126" s="4"/>
      <c r="I126" s="4"/>
      <c r="J126" s="4"/>
      <c r="K126" s="4"/>
      <c r="L126" s="4"/>
      <c r="M126" s="4"/>
    </row>
    <row r="127" spans="1:28" x14ac:dyDescent="0.25">
      <c r="B127" s="4"/>
      <c r="C127" s="4"/>
      <c r="D127" s="4"/>
      <c r="E127" s="4"/>
      <c r="F127" s="4"/>
      <c r="G127" s="4"/>
      <c r="H127" s="4"/>
      <c r="I127" s="4"/>
      <c r="J127" s="4"/>
      <c r="K127" s="4"/>
      <c r="L127" s="4"/>
      <c r="M127" s="4"/>
    </row>
    <row r="128" spans="1:28" x14ac:dyDescent="0.25">
      <c r="B128" s="4"/>
      <c r="C128" s="4"/>
      <c r="D128" s="4"/>
      <c r="E128" s="4"/>
      <c r="F128" s="4"/>
      <c r="G128" s="4"/>
      <c r="H128" s="4"/>
      <c r="I128" s="4"/>
      <c r="J128" s="4"/>
      <c r="K128" s="4"/>
      <c r="L128" s="4"/>
      <c r="M128" s="4"/>
    </row>
    <row r="129" spans="2:13" x14ac:dyDescent="0.25">
      <c r="B129" s="4"/>
      <c r="C129" s="4"/>
      <c r="D129" s="4"/>
      <c r="E129" s="4"/>
      <c r="F129" s="4"/>
      <c r="G129" s="4"/>
      <c r="H129" s="4"/>
      <c r="I129" s="4"/>
      <c r="J129" s="4"/>
      <c r="K129" s="4"/>
      <c r="L129" s="4"/>
      <c r="M129" s="4"/>
    </row>
    <row r="130" spans="2:13" x14ac:dyDescent="0.25">
      <c r="B130" s="4"/>
      <c r="C130" s="4"/>
      <c r="D130" s="4"/>
      <c r="E130" s="4"/>
      <c r="F130" s="4"/>
      <c r="G130" s="4"/>
      <c r="H130" s="4"/>
      <c r="I130" s="4"/>
      <c r="J130" s="4"/>
      <c r="K130" s="4"/>
      <c r="L130" s="4"/>
      <c r="M130" s="4"/>
    </row>
    <row r="131" spans="2:13" x14ac:dyDescent="0.25">
      <c r="B131" s="4"/>
      <c r="C131" s="4"/>
      <c r="D131" s="4"/>
      <c r="E131" s="4"/>
      <c r="F131" s="4"/>
      <c r="G131" s="4"/>
      <c r="H131" s="4"/>
      <c r="I131" s="4"/>
      <c r="J131" s="4"/>
      <c r="K131" s="4"/>
      <c r="L131" s="4"/>
      <c r="M131" s="4"/>
    </row>
    <row r="132" spans="2:13" x14ac:dyDescent="0.25">
      <c r="B132" s="4"/>
      <c r="C132" s="4"/>
      <c r="D132" s="4"/>
      <c r="E132" s="4"/>
      <c r="F132" s="4"/>
      <c r="G132" s="4"/>
      <c r="H132" s="4"/>
      <c r="I132" s="4"/>
      <c r="J132" s="4"/>
      <c r="K132" s="4"/>
      <c r="L132" s="4"/>
      <c r="M132" s="4"/>
    </row>
    <row r="133" spans="2:13" x14ac:dyDescent="0.25">
      <c r="B133" s="4"/>
      <c r="C133" s="4"/>
      <c r="D133" s="4"/>
      <c r="E133" s="4"/>
      <c r="F133" s="4"/>
      <c r="G133" s="4"/>
      <c r="H133" s="4"/>
      <c r="I133" s="4"/>
      <c r="J133" s="4"/>
      <c r="K133" s="4"/>
      <c r="L133" s="4"/>
      <c r="M133" s="4"/>
    </row>
    <row r="134" spans="2:13" x14ac:dyDescent="0.25">
      <c r="B134" s="4"/>
      <c r="C134" s="4"/>
      <c r="D134" s="4"/>
      <c r="E134" s="4"/>
      <c r="F134" s="4"/>
      <c r="G134" s="4"/>
      <c r="H134" s="4"/>
      <c r="I134" s="4"/>
      <c r="J134" s="4"/>
      <c r="K134" s="4"/>
      <c r="L134" s="4"/>
      <c r="M134" s="4"/>
    </row>
    <row r="135" spans="2:13" x14ac:dyDescent="0.25">
      <c r="B135" s="4"/>
      <c r="C135" s="4"/>
      <c r="D135" s="4"/>
      <c r="E135" s="4"/>
      <c r="F135" s="4"/>
      <c r="G135" s="4"/>
      <c r="H135" s="4"/>
      <c r="I135" s="4"/>
      <c r="J135" s="4"/>
      <c r="K135" s="4"/>
      <c r="L135" s="4"/>
      <c r="M135" s="4"/>
    </row>
    <row r="136" spans="2:13" x14ac:dyDescent="0.25">
      <c r="B136" s="4"/>
      <c r="C136" s="4"/>
      <c r="D136" s="4"/>
      <c r="E136" s="4"/>
      <c r="F136" s="4"/>
      <c r="G136" s="4"/>
      <c r="H136" s="4"/>
      <c r="I136" s="4"/>
      <c r="J136" s="4"/>
      <c r="K136" s="4"/>
      <c r="L136" s="4"/>
      <c r="M136" s="4"/>
    </row>
    <row r="137" spans="2:13" x14ac:dyDescent="0.25">
      <c r="B137" s="4"/>
      <c r="C137" s="4"/>
      <c r="D137" s="4"/>
      <c r="E137" s="4"/>
      <c r="F137" s="4"/>
      <c r="G137" s="4"/>
      <c r="H137" s="4"/>
      <c r="I137" s="4"/>
      <c r="J137" s="4"/>
      <c r="K137" s="4"/>
      <c r="L137" s="4"/>
      <c r="M137" s="4"/>
    </row>
    <row r="138" spans="2:13" x14ac:dyDescent="0.25">
      <c r="B138" s="4"/>
      <c r="C138" s="4"/>
      <c r="D138" s="4"/>
      <c r="E138" s="4"/>
      <c r="F138" s="4"/>
      <c r="G138" s="4"/>
      <c r="H138" s="4"/>
      <c r="I138" s="4"/>
      <c r="J138" s="4"/>
      <c r="K138" s="4"/>
      <c r="L138" s="4"/>
      <c r="M138" s="4"/>
    </row>
  </sheetData>
  <mergeCells count="3">
    <mergeCell ref="A1:P1"/>
    <mergeCell ref="Q1:AB1"/>
    <mergeCell ref="Q123:AB123"/>
  </mergeCells>
  <conditionalFormatting sqref="P123">
    <cfRule type="containsText" dxfId="51" priority="4" operator="containsText" text="HATA VAR">
      <formula>NOT(ISERROR(SEARCH("HATA VAR",P123)))</formula>
    </cfRule>
    <cfRule type="containsText" dxfId="50" priority="5" operator="containsText" text="HATA YOK">
      <formula>NOT(ISERROR(SEARCH("HATA YOK",P123)))</formula>
    </cfRule>
  </conditionalFormatting>
  <conditionalFormatting sqref="P3:AB121">
    <cfRule type="cellIs" dxfId="49" priority="1" operator="lessThan">
      <formula>0</formula>
    </cfRule>
    <cfRule type="cellIs" dxfId="48" priority="2" operator="equal">
      <formula>0</formula>
    </cfRule>
    <cfRule type="cellIs" dxfId="47" priority="3" operator="greaterThan">
      <formula>0</formula>
    </cfRule>
  </conditionalFormatting>
  <pageMargins left="0.7" right="0.7" top="0.75" bottom="0.75" header="0.3" footer="0.3"/>
  <pageSetup paperSize="9" scale="42"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B505F13-03B7-4340-954D-814A017DB021}">
          <x14:formula1>
            <xm:f>DONE!$D$3:$D$112</xm:f>
          </x14:formula1>
          <xm:sqref>A3:A121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E59BF-A3E2-45A7-8960-47B37589A0B6}">
  <sheetPr codeName="Sayfa12">
    <tabColor theme="9" tint="0.39997558519241921"/>
    <pageSetUpPr fitToPage="1"/>
  </sheetPr>
  <dimension ref="A1:N999"/>
  <sheetViews>
    <sheetView zoomScale="80" zoomScaleNormal="80" workbookViewId="0">
      <pane ySplit="9" topLeftCell="A499" activePane="bottomLeft" state="frozen"/>
      <selection pane="bottomLeft" activeCell="D10" sqref="D10:D603"/>
    </sheetView>
  </sheetViews>
  <sheetFormatPr defaultRowHeight="15.75" x14ac:dyDescent="0.25"/>
  <cols>
    <col min="1" max="1" width="12.85546875" style="2" bestFit="1" customWidth="1"/>
    <col min="2" max="2" width="17.28515625" style="2" bestFit="1" customWidth="1"/>
    <col min="3" max="3" width="26" style="2" bestFit="1" customWidth="1"/>
    <col min="4" max="4" width="41.5703125" style="2" bestFit="1" customWidth="1"/>
    <col min="5" max="5" width="29.7109375" style="2" bestFit="1" customWidth="1"/>
    <col min="6" max="6" width="21.42578125" style="2" bestFit="1" customWidth="1"/>
    <col min="7" max="7" width="21.28515625" style="28" bestFit="1" customWidth="1"/>
    <col min="8" max="8" width="27.28515625" style="2" bestFit="1" customWidth="1"/>
    <col min="9" max="10" width="40.7109375" style="2" customWidth="1"/>
    <col min="11" max="11" width="48.7109375" style="2" bestFit="1" customWidth="1"/>
    <col min="12" max="12" width="9.140625" style="2"/>
    <col min="13" max="13" width="18.140625" style="2" bestFit="1" customWidth="1"/>
    <col min="14" max="14" width="17.28515625" style="2" bestFit="1" customWidth="1"/>
    <col min="15" max="16384" width="9.140625" style="2"/>
  </cols>
  <sheetData>
    <row r="1" spans="1:14" ht="24.95" customHeight="1" x14ac:dyDescent="0.25">
      <c r="G1" s="45"/>
      <c r="H1" s="45"/>
      <c r="I1" s="2" t="s">
        <v>247</v>
      </c>
    </row>
    <row r="2" spans="1:14" ht="24.95" customHeight="1" x14ac:dyDescent="0.25"/>
    <row r="3" spans="1:14" ht="24.95" customHeight="1" x14ac:dyDescent="0.25"/>
    <row r="4" spans="1:14" ht="24.95" customHeight="1" x14ac:dyDescent="0.25"/>
    <row r="5" spans="1:14" ht="24.95" customHeight="1" x14ac:dyDescent="0.25"/>
    <row r="6" spans="1:14" ht="24.95" customHeight="1" x14ac:dyDescent="0.25"/>
    <row r="7" spans="1:14" ht="24.95" customHeight="1" x14ac:dyDescent="0.25"/>
    <row r="8" spans="1:14" ht="71.25" customHeight="1" x14ac:dyDescent="0.25">
      <c r="A8" s="106" t="s">
        <v>244</v>
      </c>
      <c r="B8" s="106"/>
      <c r="C8" s="106"/>
      <c r="D8" s="106"/>
      <c r="E8" s="106"/>
      <c r="F8" s="106"/>
      <c r="G8" s="106"/>
      <c r="H8" s="106"/>
      <c r="I8" s="106"/>
      <c r="J8" s="106"/>
    </row>
    <row r="9" spans="1:14" ht="24.95" customHeight="1" x14ac:dyDescent="0.25">
      <c r="A9" s="20" t="s">
        <v>1</v>
      </c>
      <c r="B9" s="20" t="s">
        <v>2</v>
      </c>
      <c r="C9" s="20" t="s">
        <v>30</v>
      </c>
      <c r="D9" s="20" t="s">
        <v>7</v>
      </c>
      <c r="E9" s="20" t="s">
        <v>3</v>
      </c>
      <c r="F9" s="20" t="s">
        <v>4</v>
      </c>
      <c r="G9" s="25" t="s">
        <v>73</v>
      </c>
      <c r="H9" s="20" t="s">
        <v>20</v>
      </c>
      <c r="I9" s="20" t="s">
        <v>245</v>
      </c>
      <c r="J9" s="20" t="s">
        <v>246</v>
      </c>
      <c r="K9" s="2" t="s">
        <v>74</v>
      </c>
    </row>
    <row r="10" spans="1:14" s="22" customFormat="1" ht="22.5" customHeight="1" x14ac:dyDescent="0.25">
      <c r="A10" s="21">
        <v>46025</v>
      </c>
      <c r="B10" s="22">
        <v>20260101</v>
      </c>
      <c r="E10" s="22" t="s">
        <v>16</v>
      </c>
      <c r="F10" s="1" t="s">
        <v>5</v>
      </c>
      <c r="G10" s="26"/>
      <c r="H10" s="18" t="s">
        <v>27</v>
      </c>
      <c r="I10" s="18"/>
      <c r="J10" s="30"/>
      <c r="K10" s="22" t="str">
        <f>+CONCATENATE(Tablo1710612131618202224[[#This Row],[DOSYA NO]],"_",Tablo1710612131618202224[[#This Row],[MÜŞTERİ ADI]],$P$10,"_",Tablo1710612131618202224[[#This Row],[İŞİN ADI]],"_",Tablo1710612131618202224[[#This Row],[İŞİN TÜRÜ]])</f>
        <v>20260101___AKUSTİK RAPOR &amp; PROJE</v>
      </c>
      <c r="M10" s="22" t="s">
        <v>5</v>
      </c>
      <c r="N10" s="22" t="s">
        <v>22</v>
      </c>
    </row>
    <row r="11" spans="1:14" s="22" customFormat="1" ht="24.95" customHeight="1" x14ac:dyDescent="0.25">
      <c r="A11" s="21">
        <v>46025</v>
      </c>
      <c r="B11" s="22">
        <v>20260102</v>
      </c>
      <c r="E11" s="22" t="s">
        <v>16</v>
      </c>
      <c r="F11" s="1" t="s">
        <v>5</v>
      </c>
      <c r="G11" s="26"/>
      <c r="H11" s="18" t="s">
        <v>27</v>
      </c>
      <c r="I11" s="18"/>
      <c r="J11" s="30"/>
      <c r="K11" s="22" t="str">
        <f>+CONCATENATE(Tablo1710612131618202224[[#This Row],[DOSYA NO]],"_",Tablo1710612131618202224[[#This Row],[MÜŞTERİ ADI]],$P$10,"_",Tablo1710612131618202224[[#This Row],[İŞİN ADI]],"_",Tablo1710612131618202224[[#This Row],[İŞİN TÜRÜ]])</f>
        <v>20260102___AKUSTİK RAPOR &amp; PROJE</v>
      </c>
      <c r="M11" s="22" t="s">
        <v>6</v>
      </c>
      <c r="N11" s="22" t="s">
        <v>27</v>
      </c>
    </row>
    <row r="12" spans="1:14" s="22" customFormat="1" ht="24.95" customHeight="1" x14ac:dyDescent="0.25">
      <c r="A12" s="21">
        <v>46025</v>
      </c>
      <c r="B12" s="22">
        <v>20260103</v>
      </c>
      <c r="E12" s="22" t="s">
        <v>16</v>
      </c>
      <c r="F12" s="1" t="s">
        <v>5</v>
      </c>
      <c r="G12" s="26"/>
      <c r="H12" s="18" t="s">
        <v>27</v>
      </c>
      <c r="I12" s="18"/>
      <c r="J12" s="30"/>
      <c r="K12" s="22" t="str">
        <f>+CONCATENATE(Tablo1710612131618202224[[#This Row],[DOSYA NO]],"_",Tablo1710612131618202224[[#This Row],[MÜŞTERİ ADI]],$P$10,"_",Tablo1710612131618202224[[#This Row],[İŞİN ADI]],"_",Tablo1710612131618202224[[#This Row],[İŞİN TÜRÜ]])</f>
        <v>20260103___AKUSTİK RAPOR &amp; PROJE</v>
      </c>
      <c r="M12" s="22" t="s">
        <v>14</v>
      </c>
    </row>
    <row r="13" spans="1:14" s="22" customFormat="1" ht="24.95" customHeight="1" x14ac:dyDescent="0.25">
      <c r="A13" s="21">
        <v>46025</v>
      </c>
      <c r="B13" s="22">
        <v>20260104</v>
      </c>
      <c r="E13" s="22" t="s">
        <v>17</v>
      </c>
      <c r="F13" s="1" t="s">
        <v>5</v>
      </c>
      <c r="G13" s="26"/>
      <c r="H13" s="18" t="s">
        <v>27</v>
      </c>
      <c r="I13" s="18"/>
      <c r="J13" s="30"/>
      <c r="K13" s="22" t="str">
        <f>+CONCATENATE(Tablo1710612131618202224[[#This Row],[DOSYA NO]],"_",Tablo1710612131618202224[[#This Row],[MÜŞTERİ ADI]],$P$10,"_",Tablo1710612131618202224[[#This Row],[İŞİN ADI]],"_",Tablo1710612131618202224[[#This Row],[İŞİN TÜRÜ]])</f>
        <v>20260104___ÖN HESAP SONUÇ FORMU</v>
      </c>
    </row>
    <row r="14" spans="1:14" s="22" customFormat="1" ht="24.95" customHeight="1" x14ac:dyDescent="0.25">
      <c r="A14" s="21">
        <v>46025</v>
      </c>
      <c r="B14" s="22">
        <v>20260105</v>
      </c>
      <c r="E14" s="22" t="s">
        <v>62</v>
      </c>
      <c r="F14" s="1" t="s">
        <v>14</v>
      </c>
      <c r="G14" s="26"/>
      <c r="H14" s="18"/>
      <c r="I14" s="18"/>
      <c r="J14" s="30"/>
      <c r="K14" s="22" t="str">
        <f>+CONCATENATE(Tablo1710612131618202224[[#This Row],[DOSYA NO]],"_",Tablo1710612131618202224[[#This Row],[MÜŞTERİ ADI]],$P$10,"_",Tablo1710612131618202224[[#This Row],[İŞİN ADI]],"_",Tablo1710612131618202224[[#This Row],[İŞİN TÜRÜ]])</f>
        <v>20260105___EKB ÇİZİMİ</v>
      </c>
    </row>
    <row r="15" spans="1:14" s="22" customFormat="1" ht="24.95" customHeight="1" x14ac:dyDescent="0.25">
      <c r="A15" s="21">
        <v>46025</v>
      </c>
      <c r="B15" s="22">
        <v>20260106</v>
      </c>
      <c r="E15" s="22" t="s">
        <v>62</v>
      </c>
      <c r="F15" s="1" t="s">
        <v>5</v>
      </c>
      <c r="G15" s="26"/>
      <c r="H15" s="18" t="s">
        <v>27</v>
      </c>
      <c r="I15" s="18"/>
      <c r="J15" s="30"/>
      <c r="K15" s="22" t="str">
        <f>+CONCATENATE(Tablo1710612131618202224[[#This Row],[DOSYA NO]],"_",Tablo1710612131618202224[[#This Row],[MÜŞTERİ ADI]],$P$10,"_",Tablo1710612131618202224[[#This Row],[İŞİN ADI]],"_",Tablo1710612131618202224[[#This Row],[İŞİN TÜRÜ]])</f>
        <v>20260106___EKB ÇİZİMİ</v>
      </c>
    </row>
    <row r="16" spans="1:14" s="22" customFormat="1" ht="24.95" customHeight="1" x14ac:dyDescent="0.25">
      <c r="A16" s="21">
        <v>46025</v>
      </c>
      <c r="B16" s="22">
        <v>20260107</v>
      </c>
      <c r="E16" s="22" t="s">
        <v>17</v>
      </c>
      <c r="F16" s="1" t="s">
        <v>5</v>
      </c>
      <c r="G16" s="26"/>
      <c r="H16" s="18" t="s">
        <v>27</v>
      </c>
      <c r="I16" s="18"/>
      <c r="J16" s="30"/>
      <c r="K16" s="22" t="str">
        <f>+CONCATENATE(Tablo1710612131618202224[[#This Row],[DOSYA NO]],"_",Tablo1710612131618202224[[#This Row],[MÜŞTERİ ADI]],$P$10,"_",Tablo1710612131618202224[[#This Row],[İŞİN ADI]],"_",Tablo1710612131618202224[[#This Row],[İŞİN TÜRÜ]])</f>
        <v>20260107___ÖN HESAP SONUÇ FORMU</v>
      </c>
    </row>
    <row r="17" spans="1:11" s="22" customFormat="1" ht="24.95" customHeight="1" x14ac:dyDescent="0.25">
      <c r="A17" s="21">
        <v>46025</v>
      </c>
      <c r="B17" s="22">
        <v>20260108</v>
      </c>
      <c r="E17" s="22" t="s">
        <v>77</v>
      </c>
      <c r="F17" s="1" t="s">
        <v>5</v>
      </c>
      <c r="G17" s="26"/>
      <c r="H17" s="18" t="s">
        <v>27</v>
      </c>
      <c r="I17" s="18"/>
      <c r="J17" s="30"/>
      <c r="K17" s="22" t="str">
        <f>+CONCATENATE(Tablo1710612131618202224[[#This Row],[DOSYA NO]],"_",Tablo1710612131618202224[[#This Row],[MÜŞTERİ ADI]],$P$10,"_",Tablo1710612131618202224[[#This Row],[İŞİN ADI]],"_",Tablo1710612131618202224[[#This Row],[İŞİN TÜRÜ]])</f>
        <v>20260108___EKB ÇİZİM VE ONAYI</v>
      </c>
    </row>
    <row r="18" spans="1:11" s="22" customFormat="1" ht="24.95" customHeight="1" x14ac:dyDescent="0.25">
      <c r="A18" s="21">
        <v>46025</v>
      </c>
      <c r="B18" s="22">
        <v>20260109</v>
      </c>
      <c r="E18" s="22" t="s">
        <v>17</v>
      </c>
      <c r="F18" s="1" t="s">
        <v>5</v>
      </c>
      <c r="G18" s="26"/>
      <c r="H18" s="18" t="s">
        <v>27</v>
      </c>
      <c r="I18" s="18"/>
      <c r="J18" s="30"/>
      <c r="K18" s="22" t="str">
        <f>+CONCATENATE(Tablo1710612131618202224[[#This Row],[DOSYA NO]],"_",Tablo1710612131618202224[[#This Row],[MÜŞTERİ ADI]],$P$10,"_",Tablo1710612131618202224[[#This Row],[İŞİN ADI]],"_",Tablo1710612131618202224[[#This Row],[İŞİN TÜRÜ]])</f>
        <v>20260109___ÖN HESAP SONUÇ FORMU</v>
      </c>
    </row>
    <row r="19" spans="1:11" s="22" customFormat="1" ht="24.95" customHeight="1" x14ac:dyDescent="0.25">
      <c r="A19" s="21">
        <v>46025</v>
      </c>
      <c r="B19" s="22">
        <v>20260110</v>
      </c>
      <c r="E19" s="22" t="s">
        <v>16</v>
      </c>
      <c r="F19" s="1" t="s">
        <v>5</v>
      </c>
      <c r="G19" s="26"/>
      <c r="H19" s="18" t="s">
        <v>27</v>
      </c>
      <c r="I19" s="18"/>
      <c r="J19" s="30"/>
      <c r="K19" s="22" t="str">
        <f>+CONCATENATE(Tablo1710612131618202224[[#This Row],[DOSYA NO]],"_",Tablo1710612131618202224[[#This Row],[MÜŞTERİ ADI]],$P$10,"_",Tablo1710612131618202224[[#This Row],[İŞİN ADI]],"_",Tablo1710612131618202224[[#This Row],[İŞİN TÜRÜ]])</f>
        <v>20260110___AKUSTİK RAPOR &amp; PROJE</v>
      </c>
    </row>
    <row r="20" spans="1:11" s="22" customFormat="1" ht="24.95" customHeight="1" x14ac:dyDescent="0.25">
      <c r="A20" s="21">
        <v>46025</v>
      </c>
      <c r="B20" s="22">
        <v>20260111</v>
      </c>
      <c r="E20" s="22" t="s">
        <v>62</v>
      </c>
      <c r="F20" s="1" t="s">
        <v>5</v>
      </c>
      <c r="G20" s="26"/>
      <c r="H20" s="18" t="s">
        <v>27</v>
      </c>
      <c r="I20" s="18"/>
      <c r="J20" s="30"/>
      <c r="K20" s="22" t="str">
        <f>+CONCATENATE(Tablo1710612131618202224[[#This Row],[DOSYA NO]],"_",Tablo1710612131618202224[[#This Row],[MÜŞTERİ ADI]],$P$10,"_",Tablo1710612131618202224[[#This Row],[İŞİN ADI]],"_",Tablo1710612131618202224[[#This Row],[İŞİN TÜRÜ]])</f>
        <v>20260111___EKB ÇİZİMİ</v>
      </c>
    </row>
    <row r="21" spans="1:11" s="22" customFormat="1" ht="24.95" customHeight="1" x14ac:dyDescent="0.25">
      <c r="A21" s="21">
        <v>46025</v>
      </c>
      <c r="B21" s="22">
        <v>20260112</v>
      </c>
      <c r="E21" s="22" t="s">
        <v>62</v>
      </c>
      <c r="F21" s="1" t="s">
        <v>5</v>
      </c>
      <c r="G21" s="26"/>
      <c r="H21" s="18" t="s">
        <v>27</v>
      </c>
      <c r="I21" s="18"/>
      <c r="J21" s="30"/>
      <c r="K21" s="22" t="str">
        <f>+CONCATENATE(Tablo1710612131618202224[[#This Row],[DOSYA NO]],"_",Tablo1710612131618202224[[#This Row],[MÜŞTERİ ADI]],$P$10,"_",Tablo1710612131618202224[[#This Row],[İŞİN ADI]],"_",Tablo1710612131618202224[[#This Row],[İŞİN TÜRÜ]])</f>
        <v>20260112___EKB ÇİZİMİ</v>
      </c>
    </row>
    <row r="22" spans="1:11" s="22" customFormat="1" ht="24.95" customHeight="1" x14ac:dyDescent="0.25">
      <c r="A22" s="21">
        <v>46025</v>
      </c>
      <c r="B22" s="22">
        <v>20260113</v>
      </c>
      <c r="E22" s="22" t="s">
        <v>62</v>
      </c>
      <c r="F22" s="1" t="s">
        <v>5</v>
      </c>
      <c r="G22" s="26"/>
      <c r="H22" s="18" t="s">
        <v>27</v>
      </c>
      <c r="I22" s="18"/>
      <c r="J22" s="30"/>
      <c r="K22" s="22" t="str">
        <f>+CONCATENATE(Tablo1710612131618202224[[#This Row],[DOSYA NO]],"_",Tablo1710612131618202224[[#This Row],[MÜŞTERİ ADI]],$P$10,"_",Tablo1710612131618202224[[#This Row],[İŞİN ADI]],"_",Tablo1710612131618202224[[#This Row],[İŞİN TÜRÜ]])</f>
        <v>20260113___EKB ÇİZİMİ</v>
      </c>
    </row>
    <row r="23" spans="1:11" s="22" customFormat="1" ht="24.95" customHeight="1" x14ac:dyDescent="0.25">
      <c r="A23" s="21">
        <v>46025</v>
      </c>
      <c r="B23" s="22">
        <v>20260114</v>
      </c>
      <c r="E23" s="22" t="s">
        <v>17</v>
      </c>
      <c r="F23" s="1" t="s">
        <v>5</v>
      </c>
      <c r="G23" s="26"/>
      <c r="H23" s="18" t="s">
        <v>27</v>
      </c>
      <c r="I23" s="18"/>
      <c r="J23" s="30"/>
      <c r="K23" s="22" t="str">
        <f>+CONCATENATE(Tablo1710612131618202224[[#This Row],[DOSYA NO]],"_",Tablo1710612131618202224[[#This Row],[MÜŞTERİ ADI]],$P$10,"_",Tablo1710612131618202224[[#This Row],[İŞİN ADI]],"_",Tablo1710612131618202224[[#This Row],[İŞİN TÜRÜ]])</f>
        <v>20260114___ÖN HESAP SONUÇ FORMU</v>
      </c>
    </row>
    <row r="24" spans="1:11" s="22" customFormat="1" ht="24.95" customHeight="1" x14ac:dyDescent="0.25">
      <c r="A24" s="21">
        <v>46025</v>
      </c>
      <c r="B24" s="22">
        <v>20260115</v>
      </c>
      <c r="E24" s="22" t="s">
        <v>16</v>
      </c>
      <c r="F24" s="1" t="s">
        <v>5</v>
      </c>
      <c r="G24" s="26"/>
      <c r="H24" s="18" t="s">
        <v>27</v>
      </c>
      <c r="I24" s="18"/>
      <c r="J24" s="30"/>
      <c r="K24" s="22" t="str">
        <f>+CONCATENATE(Tablo1710612131618202224[[#This Row],[DOSYA NO]],"_",Tablo1710612131618202224[[#This Row],[MÜŞTERİ ADI]],$P$10,"_",Tablo1710612131618202224[[#This Row],[İŞİN ADI]],"_",Tablo1710612131618202224[[#This Row],[İŞİN TÜRÜ]])</f>
        <v>20260115___AKUSTİK RAPOR &amp; PROJE</v>
      </c>
    </row>
    <row r="25" spans="1:11" s="22" customFormat="1" ht="24.95" customHeight="1" x14ac:dyDescent="0.25">
      <c r="A25" s="21">
        <v>46025</v>
      </c>
      <c r="B25" s="22">
        <v>20260116</v>
      </c>
      <c r="E25" s="22" t="s">
        <v>62</v>
      </c>
      <c r="F25" s="1" t="s">
        <v>5</v>
      </c>
      <c r="G25" s="26"/>
      <c r="H25" s="18" t="s">
        <v>27</v>
      </c>
      <c r="I25" s="18"/>
      <c r="J25" s="30"/>
      <c r="K25" s="22" t="str">
        <f>+CONCATENATE(Tablo1710612131618202224[[#This Row],[DOSYA NO]],"_",Tablo1710612131618202224[[#This Row],[MÜŞTERİ ADI]],$P$10,"_",Tablo1710612131618202224[[#This Row],[İŞİN ADI]],"_",Tablo1710612131618202224[[#This Row],[İŞİN TÜRÜ]])</f>
        <v>20260116___EKB ÇİZİMİ</v>
      </c>
    </row>
    <row r="26" spans="1:11" s="22" customFormat="1" ht="24.95" customHeight="1" x14ac:dyDescent="0.25">
      <c r="A26" s="21">
        <v>46027</v>
      </c>
      <c r="B26" s="22">
        <v>20260117</v>
      </c>
      <c r="E26" s="22" t="s">
        <v>77</v>
      </c>
      <c r="F26" s="1" t="s">
        <v>5</v>
      </c>
      <c r="G26" s="26"/>
      <c r="H26" s="18" t="s">
        <v>27</v>
      </c>
      <c r="I26" s="18"/>
      <c r="J26" s="30"/>
      <c r="K26" s="22" t="str">
        <f>+CONCATENATE(Tablo1710612131618202224[[#This Row],[DOSYA NO]],"_",Tablo1710612131618202224[[#This Row],[MÜŞTERİ ADI]],$P$10,"_",Tablo1710612131618202224[[#This Row],[İŞİN ADI]],"_",Tablo1710612131618202224[[#This Row],[İŞİN TÜRÜ]])</f>
        <v>20260117___EKB ÇİZİM VE ONAYI</v>
      </c>
    </row>
    <row r="27" spans="1:11" s="22" customFormat="1" ht="24.95" customHeight="1" x14ac:dyDescent="0.25">
      <c r="A27" s="21">
        <v>46027</v>
      </c>
      <c r="B27" s="22">
        <v>20260118</v>
      </c>
      <c r="E27" s="22" t="s">
        <v>77</v>
      </c>
      <c r="F27" s="1" t="s">
        <v>5</v>
      </c>
      <c r="G27" s="26"/>
      <c r="H27" s="18" t="s">
        <v>27</v>
      </c>
      <c r="I27" s="18"/>
      <c r="J27" s="30"/>
      <c r="K27" s="22" t="str">
        <f>+CONCATENATE(Tablo1710612131618202224[[#This Row],[DOSYA NO]],"_",Tablo1710612131618202224[[#This Row],[MÜŞTERİ ADI]],$P$10,"_",Tablo1710612131618202224[[#This Row],[İŞİN ADI]],"_",Tablo1710612131618202224[[#This Row],[İŞİN TÜRÜ]])</f>
        <v>20260118___EKB ÇİZİM VE ONAYI</v>
      </c>
    </row>
    <row r="28" spans="1:11" s="22" customFormat="1" ht="24.95" customHeight="1" x14ac:dyDescent="0.25">
      <c r="A28" s="21">
        <v>46027</v>
      </c>
      <c r="B28" s="22">
        <v>20260119</v>
      </c>
      <c r="E28" s="22" t="s">
        <v>79</v>
      </c>
      <c r="F28" s="1" t="s">
        <v>5</v>
      </c>
      <c r="G28" s="26"/>
      <c r="H28" s="18" t="s">
        <v>27</v>
      </c>
      <c r="I28" s="18"/>
      <c r="J28" s="30"/>
      <c r="K28" s="22" t="str">
        <f>+CONCATENATE(Tablo1710612131618202224[[#This Row],[DOSYA NO]],"_",Tablo1710612131618202224[[#This Row],[MÜŞTERİ ADI]],$P$10,"_",Tablo1710612131618202224[[#This Row],[İŞİN ADI]],"_",Tablo1710612131618202224[[#This Row],[İŞİN TÜRÜ]])</f>
        <v>20260119___EKB ONAYI</v>
      </c>
    </row>
    <row r="29" spans="1:11" s="22" customFormat="1" ht="24.95" customHeight="1" x14ac:dyDescent="0.25">
      <c r="A29" s="21">
        <v>46027</v>
      </c>
      <c r="B29" s="22">
        <v>20260120</v>
      </c>
      <c r="E29" s="22" t="s">
        <v>79</v>
      </c>
      <c r="F29" s="1" t="s">
        <v>5</v>
      </c>
      <c r="G29" s="26"/>
      <c r="H29" s="18" t="s">
        <v>27</v>
      </c>
      <c r="I29" s="18"/>
      <c r="J29" s="30"/>
      <c r="K29" s="22" t="str">
        <f>+CONCATENATE(Tablo1710612131618202224[[#This Row],[DOSYA NO]],"_",Tablo1710612131618202224[[#This Row],[MÜŞTERİ ADI]],$P$10,"_",Tablo1710612131618202224[[#This Row],[İŞİN ADI]],"_",Tablo1710612131618202224[[#This Row],[İŞİN TÜRÜ]])</f>
        <v>20260120___EKB ONAYI</v>
      </c>
    </row>
    <row r="30" spans="1:11" s="22" customFormat="1" ht="24.95" customHeight="1" x14ac:dyDescent="0.25">
      <c r="A30" s="21">
        <v>46027</v>
      </c>
      <c r="B30" s="22">
        <v>20260121</v>
      </c>
      <c r="E30" s="22" t="s">
        <v>79</v>
      </c>
      <c r="F30" s="1" t="s">
        <v>5</v>
      </c>
      <c r="G30" s="26"/>
      <c r="H30" s="18" t="s">
        <v>27</v>
      </c>
      <c r="I30" s="18"/>
      <c r="J30" s="30"/>
      <c r="K30" s="22" t="str">
        <f>+CONCATENATE(Tablo1710612131618202224[[#This Row],[DOSYA NO]],"_",Tablo1710612131618202224[[#This Row],[MÜŞTERİ ADI]],$P$10,"_",Tablo1710612131618202224[[#This Row],[İŞİN ADI]],"_",Tablo1710612131618202224[[#This Row],[İŞİN TÜRÜ]])</f>
        <v>20260121___EKB ONAYI</v>
      </c>
    </row>
    <row r="31" spans="1:11" s="22" customFormat="1" ht="24.95" customHeight="1" x14ac:dyDescent="0.25">
      <c r="A31" s="21">
        <v>46027</v>
      </c>
      <c r="B31" s="22">
        <v>20260122</v>
      </c>
      <c r="E31" s="22" t="s">
        <v>79</v>
      </c>
      <c r="F31" s="1" t="s">
        <v>5</v>
      </c>
      <c r="G31" s="26"/>
      <c r="H31" s="18" t="s">
        <v>27</v>
      </c>
      <c r="I31" s="18"/>
      <c r="J31" s="30"/>
      <c r="K31" s="22" t="str">
        <f>+CONCATENATE(Tablo1710612131618202224[[#This Row],[DOSYA NO]],"_",Tablo1710612131618202224[[#This Row],[MÜŞTERİ ADI]],$P$10,"_",Tablo1710612131618202224[[#This Row],[İŞİN ADI]],"_",Tablo1710612131618202224[[#This Row],[İŞİN TÜRÜ]])</f>
        <v>20260122___EKB ONAYI</v>
      </c>
    </row>
    <row r="32" spans="1:11" s="22" customFormat="1" ht="24.95" customHeight="1" x14ac:dyDescent="0.25">
      <c r="A32" s="21">
        <v>46027</v>
      </c>
      <c r="B32" s="22">
        <v>20260123</v>
      </c>
      <c r="E32" s="22" t="s">
        <v>79</v>
      </c>
      <c r="F32" s="1" t="s">
        <v>5</v>
      </c>
      <c r="G32" s="26"/>
      <c r="H32" s="18" t="s">
        <v>27</v>
      </c>
      <c r="I32" s="18"/>
      <c r="J32" s="30"/>
      <c r="K32" s="22" t="str">
        <f>+CONCATENATE(Tablo1710612131618202224[[#This Row],[DOSYA NO]],"_",Tablo1710612131618202224[[#This Row],[MÜŞTERİ ADI]],$P$10,"_",Tablo1710612131618202224[[#This Row],[İŞİN ADI]],"_",Tablo1710612131618202224[[#This Row],[İŞİN TÜRÜ]])</f>
        <v>20260123___EKB ONAYI</v>
      </c>
    </row>
    <row r="33" spans="1:11" s="22" customFormat="1" ht="24.95" customHeight="1" x14ac:dyDescent="0.25">
      <c r="A33" s="21">
        <v>46027</v>
      </c>
      <c r="B33" s="22">
        <v>20260124</v>
      </c>
      <c r="E33" s="22" t="s">
        <v>62</v>
      </c>
      <c r="F33" s="1" t="s">
        <v>5</v>
      </c>
      <c r="G33" s="26"/>
      <c r="H33" s="18" t="s">
        <v>27</v>
      </c>
      <c r="I33" s="18"/>
      <c r="J33" s="30"/>
      <c r="K33" s="22" t="str">
        <f>+CONCATENATE(Tablo1710612131618202224[[#This Row],[DOSYA NO]],"_",Tablo1710612131618202224[[#This Row],[MÜŞTERİ ADI]],$P$10,"_",Tablo1710612131618202224[[#This Row],[İŞİN ADI]],"_",Tablo1710612131618202224[[#This Row],[İŞİN TÜRÜ]])</f>
        <v>20260124___EKB ÇİZİMİ</v>
      </c>
    </row>
    <row r="34" spans="1:11" s="22" customFormat="1" ht="24.95" customHeight="1" x14ac:dyDescent="0.25">
      <c r="A34" s="21">
        <v>46027</v>
      </c>
      <c r="B34" s="22">
        <v>20260125</v>
      </c>
      <c r="E34" s="22" t="s">
        <v>17</v>
      </c>
      <c r="F34" s="1" t="s">
        <v>5</v>
      </c>
      <c r="G34" s="26"/>
      <c r="H34" s="18" t="s">
        <v>27</v>
      </c>
      <c r="I34" s="18"/>
      <c r="J34" s="30"/>
      <c r="K34" s="22" t="str">
        <f>+CONCATENATE(Tablo1710612131618202224[[#This Row],[DOSYA NO]],"_",Tablo1710612131618202224[[#This Row],[MÜŞTERİ ADI]],$P$10,"_",Tablo1710612131618202224[[#This Row],[İŞİN ADI]],"_",Tablo1710612131618202224[[#This Row],[İŞİN TÜRÜ]])</f>
        <v>20260125___ÖN HESAP SONUÇ FORMU</v>
      </c>
    </row>
    <row r="35" spans="1:11" s="22" customFormat="1" ht="24.95" customHeight="1" x14ac:dyDescent="0.25">
      <c r="A35" s="21">
        <v>46027</v>
      </c>
      <c r="B35" s="22">
        <v>20260126</v>
      </c>
      <c r="E35" s="22" t="s">
        <v>16</v>
      </c>
      <c r="F35" s="1" t="s">
        <v>5</v>
      </c>
      <c r="G35" s="26"/>
      <c r="H35" s="18" t="s">
        <v>27</v>
      </c>
      <c r="I35" s="18"/>
      <c r="J35" s="30"/>
      <c r="K35" s="22" t="str">
        <f>+CONCATENATE(Tablo1710612131618202224[[#This Row],[DOSYA NO]],"_",Tablo1710612131618202224[[#This Row],[MÜŞTERİ ADI]],$P$10,"_",Tablo1710612131618202224[[#This Row],[İŞİN ADI]],"_",Tablo1710612131618202224[[#This Row],[İŞİN TÜRÜ]])</f>
        <v>20260126___AKUSTİK RAPOR &amp; PROJE</v>
      </c>
    </row>
    <row r="36" spans="1:11" s="22" customFormat="1" ht="24.95" customHeight="1" x14ac:dyDescent="0.25">
      <c r="A36" s="21">
        <v>46028</v>
      </c>
      <c r="B36" s="22">
        <v>20260127</v>
      </c>
      <c r="E36" s="22" t="s">
        <v>62</v>
      </c>
      <c r="F36" s="1" t="s">
        <v>5</v>
      </c>
      <c r="G36" s="26"/>
      <c r="H36" s="18" t="s">
        <v>27</v>
      </c>
      <c r="I36" s="18"/>
      <c r="J36" s="30"/>
      <c r="K36" s="22" t="str">
        <f>+CONCATENATE(Tablo1710612131618202224[[#This Row],[DOSYA NO]],"_",Tablo1710612131618202224[[#This Row],[MÜŞTERİ ADI]],$P$10,"_",Tablo1710612131618202224[[#This Row],[İŞİN ADI]],"_",Tablo1710612131618202224[[#This Row],[İŞİN TÜRÜ]])</f>
        <v>20260127___EKB ÇİZİMİ</v>
      </c>
    </row>
    <row r="37" spans="1:11" s="22" customFormat="1" ht="24.95" customHeight="1" x14ac:dyDescent="0.25">
      <c r="A37" s="21">
        <v>46028</v>
      </c>
      <c r="B37" s="22">
        <v>20260128</v>
      </c>
      <c r="E37" s="22" t="s">
        <v>17</v>
      </c>
      <c r="F37" s="1" t="s">
        <v>5</v>
      </c>
      <c r="G37" s="26"/>
      <c r="H37" s="18" t="s">
        <v>27</v>
      </c>
      <c r="I37" s="18"/>
      <c r="J37" s="30"/>
      <c r="K37" s="22" t="str">
        <f>+CONCATENATE(Tablo1710612131618202224[[#This Row],[DOSYA NO]],"_",Tablo1710612131618202224[[#This Row],[MÜŞTERİ ADI]],$P$10,"_",Tablo1710612131618202224[[#This Row],[İŞİN ADI]],"_",Tablo1710612131618202224[[#This Row],[İŞİN TÜRÜ]])</f>
        <v>20260128___ÖN HESAP SONUÇ FORMU</v>
      </c>
    </row>
    <row r="38" spans="1:11" s="22" customFormat="1" ht="24.95" customHeight="1" x14ac:dyDescent="0.25">
      <c r="A38" s="21">
        <v>46028</v>
      </c>
      <c r="B38" s="22">
        <v>20260129</v>
      </c>
      <c r="E38" s="22" t="s">
        <v>16</v>
      </c>
      <c r="F38" s="1" t="s">
        <v>5</v>
      </c>
      <c r="G38" s="26"/>
      <c r="H38" s="18" t="s">
        <v>27</v>
      </c>
      <c r="I38" s="18"/>
      <c r="J38" s="31"/>
      <c r="K38" s="22" t="str">
        <f>+CONCATENATE(Tablo1710612131618202224[[#This Row],[DOSYA NO]],"_",Tablo1710612131618202224[[#This Row],[MÜŞTERİ ADI]],$P$10,"_",Tablo1710612131618202224[[#This Row],[İŞİN ADI]],"_",Tablo1710612131618202224[[#This Row],[İŞİN TÜRÜ]])</f>
        <v>20260129___AKUSTİK RAPOR &amp; PROJE</v>
      </c>
    </row>
    <row r="39" spans="1:11" s="22" customFormat="1" ht="24.95" customHeight="1" x14ac:dyDescent="0.25">
      <c r="A39" s="21">
        <v>46028</v>
      </c>
      <c r="B39" s="22">
        <v>20260130</v>
      </c>
      <c r="E39" s="22" t="s">
        <v>17</v>
      </c>
      <c r="F39" s="1" t="s">
        <v>5</v>
      </c>
      <c r="G39" s="26"/>
      <c r="H39" s="18" t="s">
        <v>27</v>
      </c>
      <c r="I39" s="18"/>
      <c r="J39" s="30"/>
      <c r="K39" s="22" t="str">
        <f>+CONCATENATE(Tablo1710612131618202224[[#This Row],[DOSYA NO]],"_",Tablo1710612131618202224[[#This Row],[MÜŞTERİ ADI]],$P$10,"_",Tablo1710612131618202224[[#This Row],[İŞİN ADI]],"_",Tablo1710612131618202224[[#This Row],[İŞİN TÜRÜ]])</f>
        <v>20260130___ÖN HESAP SONUÇ FORMU</v>
      </c>
    </row>
    <row r="40" spans="1:11" s="22" customFormat="1" ht="24.95" customHeight="1" x14ac:dyDescent="0.25">
      <c r="A40" s="21">
        <v>46028</v>
      </c>
      <c r="B40" s="22">
        <v>20260131</v>
      </c>
      <c r="E40" s="22" t="s">
        <v>17</v>
      </c>
      <c r="F40" s="1" t="s">
        <v>5</v>
      </c>
      <c r="G40" s="26"/>
      <c r="H40" s="18" t="s">
        <v>27</v>
      </c>
      <c r="I40" s="18"/>
      <c r="J40" s="30"/>
      <c r="K40" s="22" t="str">
        <f>+CONCATENATE(Tablo1710612131618202224[[#This Row],[DOSYA NO]],"_",Tablo1710612131618202224[[#This Row],[MÜŞTERİ ADI]],$P$10,"_",Tablo1710612131618202224[[#This Row],[İŞİN ADI]],"_",Tablo1710612131618202224[[#This Row],[İŞİN TÜRÜ]])</f>
        <v>20260131___ÖN HESAP SONUÇ FORMU</v>
      </c>
    </row>
    <row r="41" spans="1:11" s="22" customFormat="1" ht="24.95" customHeight="1" x14ac:dyDescent="0.25">
      <c r="A41" s="21">
        <v>46028</v>
      </c>
      <c r="B41" s="22">
        <v>20260132</v>
      </c>
      <c r="E41" s="22" t="s">
        <v>16</v>
      </c>
      <c r="F41" s="1" t="s">
        <v>5</v>
      </c>
      <c r="G41" s="26"/>
      <c r="H41" s="18" t="s">
        <v>27</v>
      </c>
      <c r="I41" s="18"/>
      <c r="J41" s="30"/>
      <c r="K41" s="22" t="str">
        <f>+CONCATENATE(Tablo1710612131618202224[[#This Row],[DOSYA NO]],"_",Tablo1710612131618202224[[#This Row],[MÜŞTERİ ADI]],$P$10,"_",Tablo1710612131618202224[[#This Row],[İŞİN ADI]],"_",Tablo1710612131618202224[[#This Row],[İŞİN TÜRÜ]])</f>
        <v>20260132___AKUSTİK RAPOR &amp; PROJE</v>
      </c>
    </row>
    <row r="42" spans="1:11" s="22" customFormat="1" ht="24.95" customHeight="1" x14ac:dyDescent="0.25">
      <c r="A42" s="21">
        <v>46028</v>
      </c>
      <c r="B42" s="22">
        <v>20260133</v>
      </c>
      <c r="E42" s="22" t="s">
        <v>16</v>
      </c>
      <c r="F42" s="1" t="s">
        <v>5</v>
      </c>
      <c r="G42" s="26"/>
      <c r="H42" s="18" t="s">
        <v>27</v>
      </c>
      <c r="I42" s="18"/>
      <c r="J42" s="30"/>
      <c r="K42" s="22" t="str">
        <f>+CONCATENATE(Tablo1710612131618202224[[#This Row],[DOSYA NO]],"_",Tablo1710612131618202224[[#This Row],[MÜŞTERİ ADI]],$P$10,"_",Tablo1710612131618202224[[#This Row],[İŞİN ADI]],"_",Tablo1710612131618202224[[#This Row],[İŞİN TÜRÜ]])</f>
        <v>20260133___AKUSTİK RAPOR &amp; PROJE</v>
      </c>
    </row>
    <row r="43" spans="1:11" s="22" customFormat="1" ht="24.95" customHeight="1" x14ac:dyDescent="0.25">
      <c r="A43" s="21">
        <v>46028</v>
      </c>
      <c r="B43" s="22">
        <v>20260134</v>
      </c>
      <c r="E43" s="22" t="s">
        <v>62</v>
      </c>
      <c r="F43" s="1" t="s">
        <v>5</v>
      </c>
      <c r="G43" s="26"/>
      <c r="H43" s="18" t="s">
        <v>27</v>
      </c>
      <c r="I43" s="18"/>
      <c r="J43" s="30"/>
      <c r="K43" s="22" t="str">
        <f>+CONCATENATE(Tablo1710612131618202224[[#This Row],[DOSYA NO]],"_",Tablo1710612131618202224[[#This Row],[MÜŞTERİ ADI]],$P$10,"_",Tablo1710612131618202224[[#This Row],[İŞİN ADI]],"_",Tablo1710612131618202224[[#This Row],[İŞİN TÜRÜ]])</f>
        <v>20260134___EKB ÇİZİMİ</v>
      </c>
    </row>
    <row r="44" spans="1:11" s="22" customFormat="1" ht="24.95" customHeight="1" x14ac:dyDescent="0.25">
      <c r="A44" s="21">
        <v>46028</v>
      </c>
      <c r="B44" s="22">
        <v>20260135</v>
      </c>
      <c r="E44" s="22" t="s">
        <v>17</v>
      </c>
      <c r="F44" s="1" t="s">
        <v>5</v>
      </c>
      <c r="G44" s="26"/>
      <c r="H44" s="18" t="s">
        <v>27</v>
      </c>
      <c r="I44" s="18"/>
      <c r="J44" s="30"/>
      <c r="K44" s="22" t="str">
        <f>+CONCATENATE(Tablo1710612131618202224[[#This Row],[DOSYA NO]],"_",Tablo1710612131618202224[[#This Row],[MÜŞTERİ ADI]],$P$10,"_",Tablo1710612131618202224[[#This Row],[İŞİN ADI]],"_",Tablo1710612131618202224[[#This Row],[İŞİN TÜRÜ]])</f>
        <v>20260135___ÖN HESAP SONUÇ FORMU</v>
      </c>
    </row>
    <row r="45" spans="1:11" s="22" customFormat="1" ht="24.95" customHeight="1" x14ac:dyDescent="0.25">
      <c r="A45" s="21">
        <v>46028</v>
      </c>
      <c r="B45" s="22">
        <v>20260136</v>
      </c>
      <c r="E45" s="22" t="s">
        <v>16</v>
      </c>
      <c r="F45" s="1" t="s">
        <v>5</v>
      </c>
      <c r="G45" s="26"/>
      <c r="H45" s="18" t="s">
        <v>27</v>
      </c>
      <c r="I45" s="18"/>
      <c r="J45" s="30"/>
      <c r="K45" s="22" t="str">
        <f>+CONCATENATE(Tablo1710612131618202224[[#This Row],[DOSYA NO]],"_",Tablo1710612131618202224[[#This Row],[MÜŞTERİ ADI]],$P$10,"_",Tablo1710612131618202224[[#This Row],[İŞİN ADI]],"_",Tablo1710612131618202224[[#This Row],[İŞİN TÜRÜ]])</f>
        <v>20260136___AKUSTİK RAPOR &amp; PROJE</v>
      </c>
    </row>
    <row r="46" spans="1:11" s="22" customFormat="1" ht="24.95" customHeight="1" x14ac:dyDescent="0.25">
      <c r="A46" s="21">
        <v>46028</v>
      </c>
      <c r="B46" s="22">
        <v>20260137</v>
      </c>
      <c r="E46" s="22" t="s">
        <v>16</v>
      </c>
      <c r="F46" s="1" t="s">
        <v>5</v>
      </c>
      <c r="G46" s="26"/>
      <c r="H46" s="18" t="s">
        <v>27</v>
      </c>
      <c r="I46" s="18"/>
      <c r="J46" s="30"/>
      <c r="K46" s="22" t="str">
        <f>+CONCATENATE(Tablo1710612131618202224[[#This Row],[DOSYA NO]],"_",Tablo1710612131618202224[[#This Row],[MÜŞTERİ ADI]],$P$10,"_",Tablo1710612131618202224[[#This Row],[İŞİN ADI]],"_",Tablo1710612131618202224[[#This Row],[İŞİN TÜRÜ]])</f>
        <v>20260137___AKUSTİK RAPOR &amp; PROJE</v>
      </c>
    </row>
    <row r="47" spans="1:11" s="22" customFormat="1" ht="24.95" customHeight="1" x14ac:dyDescent="0.25">
      <c r="A47" s="21">
        <v>46028</v>
      </c>
      <c r="B47" s="22">
        <v>20260138</v>
      </c>
      <c r="E47" s="22" t="s">
        <v>16</v>
      </c>
      <c r="F47" s="1" t="s">
        <v>5</v>
      </c>
      <c r="G47" s="26"/>
      <c r="H47" s="18" t="s">
        <v>27</v>
      </c>
      <c r="I47" s="18"/>
      <c r="J47" s="30"/>
      <c r="K47" s="22" t="str">
        <f>+CONCATENATE(Tablo1710612131618202224[[#This Row],[DOSYA NO]],"_",Tablo1710612131618202224[[#This Row],[MÜŞTERİ ADI]],$P$10,"_",Tablo1710612131618202224[[#This Row],[İŞİN ADI]],"_",Tablo1710612131618202224[[#This Row],[İŞİN TÜRÜ]])</f>
        <v>20260138___AKUSTİK RAPOR &amp; PROJE</v>
      </c>
    </row>
    <row r="48" spans="1:11" s="22" customFormat="1" ht="24.95" customHeight="1" x14ac:dyDescent="0.25">
      <c r="A48" s="21">
        <v>46028</v>
      </c>
      <c r="B48" s="22">
        <v>20260139</v>
      </c>
      <c r="E48" s="22" t="s">
        <v>16</v>
      </c>
      <c r="F48" s="1" t="s">
        <v>5</v>
      </c>
      <c r="G48" s="26"/>
      <c r="H48" s="18" t="s">
        <v>27</v>
      </c>
      <c r="I48" s="18"/>
      <c r="J48" s="30"/>
      <c r="K48" s="22" t="str">
        <f>+CONCATENATE(Tablo1710612131618202224[[#This Row],[DOSYA NO]],"_",Tablo1710612131618202224[[#This Row],[MÜŞTERİ ADI]],$P$10,"_",Tablo1710612131618202224[[#This Row],[İŞİN ADI]],"_",Tablo1710612131618202224[[#This Row],[İŞİN TÜRÜ]])</f>
        <v>20260139___AKUSTİK RAPOR &amp; PROJE</v>
      </c>
    </row>
    <row r="49" spans="1:11" s="22" customFormat="1" ht="24.95" customHeight="1" x14ac:dyDescent="0.25">
      <c r="A49" s="21">
        <v>46028</v>
      </c>
      <c r="B49" s="22">
        <v>20260140</v>
      </c>
      <c r="E49" s="22" t="s">
        <v>62</v>
      </c>
      <c r="F49" s="1" t="s">
        <v>5</v>
      </c>
      <c r="G49" s="26"/>
      <c r="H49" s="18" t="s">
        <v>27</v>
      </c>
      <c r="I49" s="18"/>
      <c r="J49" s="30"/>
      <c r="K49" s="22" t="str">
        <f>+CONCATENATE(Tablo1710612131618202224[[#This Row],[DOSYA NO]],"_",Tablo1710612131618202224[[#This Row],[MÜŞTERİ ADI]],$P$10,"_",Tablo1710612131618202224[[#This Row],[İŞİN ADI]],"_",Tablo1710612131618202224[[#This Row],[İŞİN TÜRÜ]])</f>
        <v>20260140___EKB ÇİZİMİ</v>
      </c>
    </row>
    <row r="50" spans="1:11" s="22" customFormat="1" ht="24.95" customHeight="1" x14ac:dyDescent="0.25">
      <c r="A50" s="21">
        <v>46028</v>
      </c>
      <c r="B50" s="22">
        <v>20260141</v>
      </c>
      <c r="E50" s="22" t="s">
        <v>16</v>
      </c>
      <c r="F50" s="1" t="s">
        <v>5</v>
      </c>
      <c r="G50" s="26"/>
      <c r="H50" s="18" t="s">
        <v>27</v>
      </c>
      <c r="I50" s="18"/>
      <c r="J50" s="30"/>
      <c r="K50" s="22" t="str">
        <f>+CONCATENATE(Tablo1710612131618202224[[#This Row],[DOSYA NO]],"_",Tablo1710612131618202224[[#This Row],[MÜŞTERİ ADI]],$P$10,"_",Tablo1710612131618202224[[#This Row],[İŞİN ADI]],"_",Tablo1710612131618202224[[#This Row],[İŞİN TÜRÜ]])</f>
        <v>20260141___AKUSTİK RAPOR &amp; PROJE</v>
      </c>
    </row>
    <row r="51" spans="1:11" s="22" customFormat="1" ht="24.95" customHeight="1" x14ac:dyDescent="0.25">
      <c r="A51" s="21">
        <v>46029</v>
      </c>
      <c r="B51" s="22">
        <v>20260142</v>
      </c>
      <c r="E51" s="22" t="s">
        <v>17</v>
      </c>
      <c r="F51" s="1" t="s">
        <v>5</v>
      </c>
      <c r="G51" s="26"/>
      <c r="H51" s="18" t="s">
        <v>27</v>
      </c>
      <c r="I51" s="18"/>
      <c r="J51" s="30"/>
      <c r="K51" s="22" t="str">
        <f>+CONCATENATE(Tablo1710612131618202224[[#This Row],[DOSYA NO]],"_",Tablo1710612131618202224[[#This Row],[MÜŞTERİ ADI]],$P$10,"_",Tablo1710612131618202224[[#This Row],[İŞİN ADI]],"_",Tablo1710612131618202224[[#This Row],[İŞİN TÜRÜ]])</f>
        <v>20260142___ÖN HESAP SONUÇ FORMU</v>
      </c>
    </row>
    <row r="52" spans="1:11" s="22" customFormat="1" ht="24.95" customHeight="1" x14ac:dyDescent="0.25">
      <c r="A52" s="21">
        <v>46029</v>
      </c>
      <c r="B52" s="22">
        <v>20260143</v>
      </c>
      <c r="E52" s="22" t="s">
        <v>16</v>
      </c>
      <c r="F52" s="1" t="s">
        <v>5</v>
      </c>
      <c r="G52" s="26"/>
      <c r="H52" s="18" t="s">
        <v>27</v>
      </c>
      <c r="I52" s="18"/>
      <c r="J52" s="30"/>
      <c r="K52" s="22" t="str">
        <f>+CONCATENATE(Tablo1710612131618202224[[#This Row],[DOSYA NO]],"_",Tablo1710612131618202224[[#This Row],[MÜŞTERİ ADI]],$P$10,"_",Tablo1710612131618202224[[#This Row],[İŞİN ADI]],"_",Tablo1710612131618202224[[#This Row],[İŞİN TÜRÜ]])</f>
        <v>20260143___AKUSTİK RAPOR &amp; PROJE</v>
      </c>
    </row>
    <row r="53" spans="1:11" s="22" customFormat="1" ht="24.95" customHeight="1" x14ac:dyDescent="0.25">
      <c r="A53" s="21">
        <v>46029</v>
      </c>
      <c r="B53" s="22">
        <v>20260144</v>
      </c>
      <c r="E53" s="22" t="s">
        <v>16</v>
      </c>
      <c r="F53" s="1" t="s">
        <v>5</v>
      </c>
      <c r="G53" s="26"/>
      <c r="H53" s="18" t="s">
        <v>27</v>
      </c>
      <c r="I53" s="18"/>
      <c r="J53" s="30"/>
      <c r="K53" s="22" t="str">
        <f>+CONCATENATE(Tablo1710612131618202224[[#This Row],[DOSYA NO]],"_",Tablo1710612131618202224[[#This Row],[MÜŞTERİ ADI]],$P$10,"_",Tablo1710612131618202224[[#This Row],[İŞİN ADI]],"_",Tablo1710612131618202224[[#This Row],[İŞİN TÜRÜ]])</f>
        <v>20260144___AKUSTİK RAPOR &amp; PROJE</v>
      </c>
    </row>
    <row r="54" spans="1:11" s="22" customFormat="1" ht="24.95" customHeight="1" x14ac:dyDescent="0.25">
      <c r="A54" s="21">
        <v>46029</v>
      </c>
      <c r="B54" s="22">
        <v>20260145</v>
      </c>
      <c r="E54" s="22" t="s">
        <v>17</v>
      </c>
      <c r="F54" s="1" t="s">
        <v>5</v>
      </c>
      <c r="G54" s="26"/>
      <c r="H54" s="18" t="s">
        <v>27</v>
      </c>
      <c r="I54" s="18" t="s">
        <v>285</v>
      </c>
      <c r="J54" s="30"/>
      <c r="K54" s="22" t="str">
        <f>+CONCATENATE(Tablo1710612131618202224[[#This Row],[DOSYA NO]],"_",Tablo1710612131618202224[[#This Row],[MÜŞTERİ ADI]],$P$10,"_",Tablo1710612131618202224[[#This Row],[İŞİN ADI]],"_",Tablo1710612131618202224[[#This Row],[İŞİN TÜRÜ]])</f>
        <v>20260145___ÖN HESAP SONUÇ FORMU</v>
      </c>
    </row>
    <row r="55" spans="1:11" s="22" customFormat="1" ht="24.95" customHeight="1" x14ac:dyDescent="0.25">
      <c r="A55" s="21">
        <v>46029</v>
      </c>
      <c r="B55" s="22">
        <v>20260146</v>
      </c>
      <c r="E55" s="22" t="s">
        <v>62</v>
      </c>
      <c r="F55" s="1" t="s">
        <v>5</v>
      </c>
      <c r="G55" s="26"/>
      <c r="H55" s="18" t="s">
        <v>27</v>
      </c>
      <c r="I55" s="18"/>
      <c r="J55" s="30"/>
      <c r="K55" s="22" t="str">
        <f>+CONCATENATE(Tablo1710612131618202224[[#This Row],[DOSYA NO]],"_",Tablo1710612131618202224[[#This Row],[MÜŞTERİ ADI]],$P$10,"_",Tablo1710612131618202224[[#This Row],[İŞİN ADI]],"_",Tablo1710612131618202224[[#This Row],[İŞİN TÜRÜ]])</f>
        <v>20260146___EKB ÇİZİMİ</v>
      </c>
    </row>
    <row r="56" spans="1:11" s="22" customFormat="1" ht="24.95" customHeight="1" x14ac:dyDescent="0.25">
      <c r="A56" s="21">
        <v>46029</v>
      </c>
      <c r="B56" s="22">
        <v>20260147</v>
      </c>
      <c r="E56" s="22" t="s">
        <v>17</v>
      </c>
      <c r="F56" s="1" t="s">
        <v>5</v>
      </c>
      <c r="G56" s="26"/>
      <c r="H56" s="18" t="s">
        <v>27</v>
      </c>
      <c r="I56" s="18"/>
      <c r="J56" s="30"/>
      <c r="K56" s="22" t="str">
        <f>+CONCATENATE(Tablo1710612131618202224[[#This Row],[DOSYA NO]],"_",Tablo1710612131618202224[[#This Row],[MÜŞTERİ ADI]],$P$10,"_",Tablo1710612131618202224[[#This Row],[İŞİN ADI]],"_",Tablo1710612131618202224[[#This Row],[İŞİN TÜRÜ]])</f>
        <v>20260147___ÖN HESAP SONUÇ FORMU</v>
      </c>
    </row>
    <row r="57" spans="1:11" s="22" customFormat="1" ht="24.95" customHeight="1" x14ac:dyDescent="0.25">
      <c r="A57" s="21">
        <v>46029</v>
      </c>
      <c r="B57" s="22">
        <v>20260148</v>
      </c>
      <c r="E57" s="22" t="s">
        <v>16</v>
      </c>
      <c r="F57" s="1" t="s">
        <v>5</v>
      </c>
      <c r="G57" s="26"/>
      <c r="H57" s="18" t="s">
        <v>27</v>
      </c>
      <c r="I57" s="18"/>
      <c r="J57" s="30"/>
      <c r="K57" s="22" t="str">
        <f>+CONCATENATE(Tablo1710612131618202224[[#This Row],[DOSYA NO]],"_",Tablo1710612131618202224[[#This Row],[MÜŞTERİ ADI]],$P$10,"_",Tablo1710612131618202224[[#This Row],[İŞİN ADI]],"_",Tablo1710612131618202224[[#This Row],[İŞİN TÜRÜ]])</f>
        <v>20260148___AKUSTİK RAPOR &amp; PROJE</v>
      </c>
    </row>
    <row r="58" spans="1:11" s="22" customFormat="1" ht="24.95" customHeight="1" x14ac:dyDescent="0.25">
      <c r="A58" s="21">
        <v>46029</v>
      </c>
      <c r="B58" s="22">
        <v>20260149</v>
      </c>
      <c r="E58" s="22" t="s">
        <v>77</v>
      </c>
      <c r="F58" s="1" t="s">
        <v>5</v>
      </c>
      <c r="G58" s="26"/>
      <c r="H58" s="18" t="s">
        <v>27</v>
      </c>
      <c r="I58" s="18"/>
      <c r="J58" s="30"/>
      <c r="K58" s="22" t="str">
        <f>+CONCATENATE(Tablo1710612131618202224[[#This Row],[DOSYA NO]],"_",Tablo1710612131618202224[[#This Row],[MÜŞTERİ ADI]],$P$10,"_",Tablo1710612131618202224[[#This Row],[İŞİN ADI]],"_",Tablo1710612131618202224[[#This Row],[İŞİN TÜRÜ]])</f>
        <v>20260149___EKB ÇİZİM VE ONAYI</v>
      </c>
    </row>
    <row r="59" spans="1:11" s="22" customFormat="1" ht="24.95" customHeight="1" x14ac:dyDescent="0.25">
      <c r="A59" s="21">
        <v>46029</v>
      </c>
      <c r="B59" s="22">
        <v>20260150</v>
      </c>
      <c r="E59" s="22" t="s">
        <v>77</v>
      </c>
      <c r="F59" s="1" t="s">
        <v>5</v>
      </c>
      <c r="G59" s="26"/>
      <c r="H59" s="18" t="s">
        <v>27</v>
      </c>
      <c r="I59" s="18"/>
      <c r="J59" s="30"/>
      <c r="K59" s="22" t="str">
        <f>+CONCATENATE(Tablo1710612131618202224[[#This Row],[DOSYA NO]],"_",Tablo1710612131618202224[[#This Row],[MÜŞTERİ ADI]],$P$10,"_",Tablo1710612131618202224[[#This Row],[İŞİN ADI]],"_",Tablo1710612131618202224[[#This Row],[İŞİN TÜRÜ]])</f>
        <v>20260150___EKB ÇİZİM VE ONAYI</v>
      </c>
    </row>
    <row r="60" spans="1:11" s="22" customFormat="1" ht="24.95" customHeight="1" x14ac:dyDescent="0.25">
      <c r="A60" s="21">
        <v>46029</v>
      </c>
      <c r="B60" s="22">
        <v>20260151</v>
      </c>
      <c r="E60" s="22" t="s">
        <v>79</v>
      </c>
      <c r="F60" s="1" t="s">
        <v>5</v>
      </c>
      <c r="G60" s="26"/>
      <c r="H60" s="18" t="s">
        <v>22</v>
      </c>
      <c r="I60" s="18"/>
      <c r="J60" s="30"/>
      <c r="K60" s="22" t="str">
        <f>+CONCATENATE(Tablo1710612131618202224[[#This Row],[DOSYA NO]],"_",Tablo1710612131618202224[[#This Row],[MÜŞTERİ ADI]],$P$10,"_",Tablo1710612131618202224[[#This Row],[İŞİN ADI]],"_",Tablo1710612131618202224[[#This Row],[İŞİN TÜRÜ]])</f>
        <v>20260151___EKB ONAYI</v>
      </c>
    </row>
    <row r="61" spans="1:11" s="22" customFormat="1" ht="24.95" customHeight="1" x14ac:dyDescent="0.25">
      <c r="A61" s="21">
        <v>46029</v>
      </c>
      <c r="B61" s="22">
        <v>20260152</v>
      </c>
      <c r="E61" s="22" t="s">
        <v>62</v>
      </c>
      <c r="F61" s="1" t="s">
        <v>5</v>
      </c>
      <c r="G61" s="26"/>
      <c r="H61" s="18" t="s">
        <v>27</v>
      </c>
      <c r="I61" s="18"/>
      <c r="J61" s="30"/>
      <c r="K61" s="22" t="str">
        <f>+CONCATENATE(Tablo1710612131618202224[[#This Row],[DOSYA NO]],"_",Tablo1710612131618202224[[#This Row],[MÜŞTERİ ADI]],$P$10,"_",Tablo1710612131618202224[[#This Row],[İŞİN ADI]],"_",Tablo1710612131618202224[[#This Row],[İŞİN TÜRÜ]])</f>
        <v>20260152___EKB ÇİZİMİ</v>
      </c>
    </row>
    <row r="62" spans="1:11" s="22" customFormat="1" ht="24.95" customHeight="1" x14ac:dyDescent="0.25">
      <c r="A62" s="21">
        <v>46029</v>
      </c>
      <c r="B62" s="22">
        <v>20260153</v>
      </c>
      <c r="E62" s="22" t="s">
        <v>77</v>
      </c>
      <c r="F62" s="1" t="s">
        <v>5</v>
      </c>
      <c r="G62" s="26"/>
      <c r="H62" s="18" t="s">
        <v>27</v>
      </c>
      <c r="I62" s="18"/>
      <c r="J62" s="30"/>
      <c r="K62" s="22" t="str">
        <f>+CONCATENATE(Tablo1710612131618202224[[#This Row],[DOSYA NO]],"_",Tablo1710612131618202224[[#This Row],[MÜŞTERİ ADI]],$P$10,"_",Tablo1710612131618202224[[#This Row],[İŞİN ADI]],"_",Tablo1710612131618202224[[#This Row],[İŞİN TÜRÜ]])</f>
        <v>20260153___EKB ÇİZİM VE ONAYI</v>
      </c>
    </row>
    <row r="63" spans="1:11" s="22" customFormat="1" ht="24.95" customHeight="1" x14ac:dyDescent="0.25">
      <c r="A63" s="21">
        <v>46029</v>
      </c>
      <c r="B63" s="22">
        <v>20260154</v>
      </c>
      <c r="E63" s="22" t="s">
        <v>62</v>
      </c>
      <c r="F63" s="1" t="s">
        <v>5</v>
      </c>
      <c r="G63" s="26"/>
      <c r="H63" s="18" t="s">
        <v>27</v>
      </c>
      <c r="I63" s="18"/>
      <c r="J63" s="30"/>
      <c r="K63" s="22" t="str">
        <f>+CONCATENATE(Tablo1710612131618202224[[#This Row],[DOSYA NO]],"_",Tablo1710612131618202224[[#This Row],[MÜŞTERİ ADI]],$P$10,"_",Tablo1710612131618202224[[#This Row],[İŞİN ADI]],"_",Tablo1710612131618202224[[#This Row],[İŞİN TÜRÜ]])</f>
        <v>20260154___EKB ÇİZİMİ</v>
      </c>
    </row>
    <row r="64" spans="1:11" s="22" customFormat="1" ht="24.95" customHeight="1" x14ac:dyDescent="0.25">
      <c r="A64" s="21">
        <v>46029</v>
      </c>
      <c r="B64" s="22">
        <v>20260155</v>
      </c>
      <c r="E64" s="22" t="s">
        <v>17</v>
      </c>
      <c r="F64" s="1" t="s">
        <v>5</v>
      </c>
      <c r="G64" s="26"/>
      <c r="H64" s="18" t="s">
        <v>27</v>
      </c>
      <c r="I64" s="18"/>
      <c r="J64" s="30"/>
      <c r="K64" s="22" t="str">
        <f>+CONCATENATE(Tablo1710612131618202224[[#This Row],[DOSYA NO]],"_",Tablo1710612131618202224[[#This Row],[MÜŞTERİ ADI]],$P$10,"_",Tablo1710612131618202224[[#This Row],[İŞİN ADI]],"_",Tablo1710612131618202224[[#This Row],[İŞİN TÜRÜ]])</f>
        <v>20260155___ÖN HESAP SONUÇ FORMU</v>
      </c>
    </row>
    <row r="65" spans="1:11" s="22" customFormat="1" ht="24.95" customHeight="1" x14ac:dyDescent="0.25">
      <c r="A65" s="21">
        <v>46029</v>
      </c>
      <c r="B65" s="22">
        <v>20260156</v>
      </c>
      <c r="E65" s="22" t="s">
        <v>16</v>
      </c>
      <c r="F65" s="1" t="s">
        <v>5</v>
      </c>
      <c r="G65" s="26"/>
      <c r="H65" s="18" t="s">
        <v>27</v>
      </c>
      <c r="I65" s="18"/>
      <c r="J65" s="30"/>
      <c r="K65" s="22" t="str">
        <f>+CONCATENATE(Tablo1710612131618202224[[#This Row],[DOSYA NO]],"_",Tablo1710612131618202224[[#This Row],[MÜŞTERİ ADI]],$P$10,"_",Tablo1710612131618202224[[#This Row],[İŞİN ADI]],"_",Tablo1710612131618202224[[#This Row],[İŞİN TÜRÜ]])</f>
        <v>20260156___AKUSTİK RAPOR &amp; PROJE</v>
      </c>
    </row>
    <row r="66" spans="1:11" s="22" customFormat="1" ht="24.95" customHeight="1" x14ac:dyDescent="0.25">
      <c r="A66" s="21">
        <v>46029</v>
      </c>
      <c r="B66" s="22">
        <v>20260157</v>
      </c>
      <c r="E66" s="22" t="s">
        <v>16</v>
      </c>
      <c r="F66" s="1" t="s">
        <v>5</v>
      </c>
      <c r="G66" s="26"/>
      <c r="H66" s="18" t="s">
        <v>27</v>
      </c>
      <c r="I66" s="18"/>
      <c r="J66" s="30"/>
      <c r="K66" s="22" t="str">
        <f>+CONCATENATE(Tablo1710612131618202224[[#This Row],[DOSYA NO]],"_",Tablo1710612131618202224[[#This Row],[MÜŞTERİ ADI]],$P$10,"_",Tablo1710612131618202224[[#This Row],[İŞİN ADI]],"_",Tablo1710612131618202224[[#This Row],[İŞİN TÜRÜ]])</f>
        <v>20260157___AKUSTİK RAPOR &amp; PROJE</v>
      </c>
    </row>
    <row r="67" spans="1:11" s="22" customFormat="1" ht="24.95" customHeight="1" x14ac:dyDescent="0.25">
      <c r="A67" s="21">
        <v>46029</v>
      </c>
      <c r="B67" s="22">
        <v>20260158</v>
      </c>
      <c r="E67" s="22" t="s">
        <v>62</v>
      </c>
      <c r="F67" s="1" t="s">
        <v>5</v>
      </c>
      <c r="G67" s="26"/>
      <c r="H67" s="18" t="s">
        <v>27</v>
      </c>
      <c r="I67" s="18"/>
      <c r="J67" s="30"/>
      <c r="K67" s="22" t="str">
        <f>+CONCATENATE(Tablo1710612131618202224[[#This Row],[DOSYA NO]],"_",Tablo1710612131618202224[[#This Row],[MÜŞTERİ ADI]],$P$10,"_",Tablo1710612131618202224[[#This Row],[İŞİN ADI]],"_",Tablo1710612131618202224[[#This Row],[İŞİN TÜRÜ]])</f>
        <v>20260158___EKB ÇİZİMİ</v>
      </c>
    </row>
    <row r="68" spans="1:11" s="22" customFormat="1" ht="24.95" customHeight="1" x14ac:dyDescent="0.25">
      <c r="A68" s="21">
        <v>46029</v>
      </c>
      <c r="B68" s="22">
        <v>20260159</v>
      </c>
      <c r="E68" s="22" t="s">
        <v>62</v>
      </c>
      <c r="F68" s="1" t="s">
        <v>5</v>
      </c>
      <c r="G68" s="26"/>
      <c r="H68" s="18" t="s">
        <v>27</v>
      </c>
      <c r="I68" s="18"/>
      <c r="J68" s="30"/>
      <c r="K68" s="22" t="str">
        <f>+CONCATENATE(Tablo1710612131618202224[[#This Row],[DOSYA NO]],"_",Tablo1710612131618202224[[#This Row],[MÜŞTERİ ADI]],$P$10,"_",Tablo1710612131618202224[[#This Row],[İŞİN ADI]],"_",Tablo1710612131618202224[[#This Row],[İŞİN TÜRÜ]])</f>
        <v>20260159___EKB ÇİZİMİ</v>
      </c>
    </row>
    <row r="69" spans="1:11" s="22" customFormat="1" ht="24.95" customHeight="1" x14ac:dyDescent="0.25">
      <c r="A69" s="21">
        <v>46029</v>
      </c>
      <c r="B69" s="22">
        <v>20260160</v>
      </c>
      <c r="E69" s="22" t="s">
        <v>62</v>
      </c>
      <c r="F69" s="1" t="s">
        <v>5</v>
      </c>
      <c r="G69" s="26"/>
      <c r="H69" s="18" t="s">
        <v>27</v>
      </c>
      <c r="I69" s="18" t="s">
        <v>278</v>
      </c>
      <c r="J69" s="30"/>
      <c r="K69" s="22" t="str">
        <f>+CONCATENATE(Tablo1710612131618202224[[#This Row],[DOSYA NO]],"_",Tablo1710612131618202224[[#This Row],[MÜŞTERİ ADI]],$P$10,"_",Tablo1710612131618202224[[#This Row],[İŞİN ADI]],"_",Tablo1710612131618202224[[#This Row],[İŞİN TÜRÜ]])</f>
        <v>20260160___EKB ÇİZİMİ</v>
      </c>
    </row>
    <row r="70" spans="1:11" s="22" customFormat="1" ht="24.95" customHeight="1" x14ac:dyDescent="0.25">
      <c r="A70" s="21">
        <v>46029</v>
      </c>
      <c r="B70" s="22">
        <v>20260161</v>
      </c>
      <c r="E70" s="22" t="s">
        <v>17</v>
      </c>
      <c r="F70" s="1" t="s">
        <v>5</v>
      </c>
      <c r="G70" s="26"/>
      <c r="H70" s="18" t="s">
        <v>27</v>
      </c>
      <c r="I70" s="18"/>
      <c r="J70" s="30"/>
      <c r="K70" s="22" t="str">
        <f>+CONCATENATE(Tablo1710612131618202224[[#This Row],[DOSYA NO]],"_",Tablo1710612131618202224[[#This Row],[MÜŞTERİ ADI]],$P$10,"_",Tablo1710612131618202224[[#This Row],[İŞİN ADI]],"_",Tablo1710612131618202224[[#This Row],[İŞİN TÜRÜ]])</f>
        <v>20260161___ÖN HESAP SONUÇ FORMU</v>
      </c>
    </row>
    <row r="71" spans="1:11" s="22" customFormat="1" ht="24.95" customHeight="1" x14ac:dyDescent="0.25">
      <c r="A71" s="21">
        <v>46030</v>
      </c>
      <c r="B71" s="22">
        <v>20260162</v>
      </c>
      <c r="E71" s="22" t="s">
        <v>79</v>
      </c>
      <c r="F71" s="1" t="s">
        <v>5</v>
      </c>
      <c r="G71" s="26"/>
      <c r="H71" s="18" t="s">
        <v>22</v>
      </c>
      <c r="I71" s="18"/>
      <c r="J71" s="30" t="s">
        <v>306</v>
      </c>
      <c r="K71" s="22" t="str">
        <f>+CONCATENATE(Tablo1710612131618202224[[#This Row],[DOSYA NO]],"_",Tablo1710612131618202224[[#This Row],[MÜŞTERİ ADI]],$P$10,"_",Tablo1710612131618202224[[#This Row],[İŞİN ADI]],"_",Tablo1710612131618202224[[#This Row],[İŞİN TÜRÜ]])</f>
        <v>20260162___EKB ONAYI</v>
      </c>
    </row>
    <row r="72" spans="1:11" s="22" customFormat="1" ht="24.95" customHeight="1" x14ac:dyDescent="0.25">
      <c r="A72" s="21">
        <v>46030</v>
      </c>
      <c r="B72" s="22">
        <v>20260163</v>
      </c>
      <c r="E72" s="22" t="s">
        <v>17</v>
      </c>
      <c r="F72" s="1" t="s">
        <v>5</v>
      </c>
      <c r="G72" s="26"/>
      <c r="H72" s="18" t="s">
        <v>27</v>
      </c>
      <c r="I72" s="18"/>
      <c r="J72" s="30"/>
      <c r="K72" s="22" t="str">
        <f>+CONCATENATE(Tablo1710612131618202224[[#This Row],[DOSYA NO]],"_",Tablo1710612131618202224[[#This Row],[MÜŞTERİ ADI]],$P$10,"_",Tablo1710612131618202224[[#This Row],[İŞİN ADI]],"_",Tablo1710612131618202224[[#This Row],[İŞİN TÜRÜ]])</f>
        <v>20260163___ÖN HESAP SONUÇ FORMU</v>
      </c>
    </row>
    <row r="73" spans="1:11" s="22" customFormat="1" ht="24.95" customHeight="1" x14ac:dyDescent="0.25">
      <c r="A73" s="21">
        <v>46030</v>
      </c>
      <c r="B73" s="22">
        <v>20260164</v>
      </c>
      <c r="E73" s="22" t="s">
        <v>16</v>
      </c>
      <c r="F73" s="1" t="s">
        <v>5</v>
      </c>
      <c r="G73" s="26"/>
      <c r="H73" s="18" t="s">
        <v>27</v>
      </c>
      <c r="I73" s="18"/>
      <c r="J73" s="30"/>
      <c r="K73" s="22" t="str">
        <f>+CONCATENATE(Tablo1710612131618202224[[#This Row],[DOSYA NO]],"_",Tablo1710612131618202224[[#This Row],[MÜŞTERİ ADI]],$P$10,"_",Tablo1710612131618202224[[#This Row],[İŞİN ADI]],"_",Tablo1710612131618202224[[#This Row],[İŞİN TÜRÜ]])</f>
        <v>20260164___AKUSTİK RAPOR &amp; PROJE</v>
      </c>
    </row>
    <row r="74" spans="1:11" s="22" customFormat="1" ht="24.95" customHeight="1" x14ac:dyDescent="0.25">
      <c r="A74" s="21">
        <v>46030</v>
      </c>
      <c r="B74" s="22">
        <v>20260165</v>
      </c>
      <c r="E74" s="22" t="s">
        <v>17</v>
      </c>
      <c r="F74" s="1" t="s">
        <v>5</v>
      </c>
      <c r="G74" s="26"/>
      <c r="H74" s="18" t="s">
        <v>27</v>
      </c>
      <c r="I74" s="18"/>
      <c r="J74" s="30"/>
      <c r="K74" s="22" t="str">
        <f>+CONCATENATE(Tablo1710612131618202224[[#This Row],[DOSYA NO]],"_",Tablo1710612131618202224[[#This Row],[MÜŞTERİ ADI]],$P$10,"_",Tablo1710612131618202224[[#This Row],[İŞİN ADI]],"_",Tablo1710612131618202224[[#This Row],[İŞİN TÜRÜ]])</f>
        <v>20260165___ÖN HESAP SONUÇ FORMU</v>
      </c>
    </row>
    <row r="75" spans="1:11" s="22" customFormat="1" ht="24.95" customHeight="1" x14ac:dyDescent="0.25">
      <c r="A75" s="21">
        <v>46030</v>
      </c>
      <c r="B75" s="22">
        <v>20260166</v>
      </c>
      <c r="E75" s="22" t="s">
        <v>62</v>
      </c>
      <c r="F75" s="1" t="s">
        <v>5</v>
      </c>
      <c r="G75" s="26"/>
      <c r="H75" s="18" t="s">
        <v>27</v>
      </c>
      <c r="I75" s="18"/>
      <c r="J75" s="30"/>
      <c r="K75" s="22" t="str">
        <f>+CONCATENATE(Tablo1710612131618202224[[#This Row],[DOSYA NO]],"_",Tablo1710612131618202224[[#This Row],[MÜŞTERİ ADI]],$P$10,"_",Tablo1710612131618202224[[#This Row],[İŞİN ADI]],"_",Tablo1710612131618202224[[#This Row],[İŞİN TÜRÜ]])</f>
        <v>20260166___EKB ÇİZİMİ</v>
      </c>
    </row>
    <row r="76" spans="1:11" s="22" customFormat="1" ht="24.95" customHeight="1" x14ac:dyDescent="0.25">
      <c r="A76" s="21">
        <v>46030</v>
      </c>
      <c r="B76" s="22">
        <v>20260167</v>
      </c>
      <c r="E76" s="22" t="s">
        <v>17</v>
      </c>
      <c r="F76" s="1" t="s">
        <v>5</v>
      </c>
      <c r="G76" s="26"/>
      <c r="H76" s="18" t="s">
        <v>27</v>
      </c>
      <c r="I76" s="18"/>
      <c r="J76" s="30"/>
      <c r="K76" s="22" t="str">
        <f>+CONCATENATE(Tablo1710612131618202224[[#This Row],[DOSYA NO]],"_",Tablo1710612131618202224[[#This Row],[MÜŞTERİ ADI]],$P$10,"_",Tablo1710612131618202224[[#This Row],[İŞİN ADI]],"_",Tablo1710612131618202224[[#This Row],[İŞİN TÜRÜ]])</f>
        <v>20260167___ÖN HESAP SONUÇ FORMU</v>
      </c>
    </row>
    <row r="77" spans="1:11" s="22" customFormat="1" ht="24.95" customHeight="1" x14ac:dyDescent="0.25">
      <c r="A77" s="21">
        <v>46030</v>
      </c>
      <c r="B77" s="22">
        <v>20260168</v>
      </c>
      <c r="E77" s="22" t="s">
        <v>16</v>
      </c>
      <c r="F77" s="1" t="s">
        <v>5</v>
      </c>
      <c r="G77" s="26"/>
      <c r="H77" s="18" t="s">
        <v>27</v>
      </c>
      <c r="I77" s="18"/>
      <c r="J77" s="30"/>
      <c r="K77" s="22" t="str">
        <f>+CONCATENATE(Tablo1710612131618202224[[#This Row],[DOSYA NO]],"_",Tablo1710612131618202224[[#This Row],[MÜŞTERİ ADI]],$P$10,"_",Tablo1710612131618202224[[#This Row],[İŞİN ADI]],"_",Tablo1710612131618202224[[#This Row],[İŞİN TÜRÜ]])</f>
        <v>20260168___AKUSTİK RAPOR &amp; PROJE</v>
      </c>
    </row>
    <row r="78" spans="1:11" s="22" customFormat="1" ht="24.95" customHeight="1" x14ac:dyDescent="0.25">
      <c r="A78" s="21">
        <v>46030</v>
      </c>
      <c r="B78" s="22">
        <v>20260169</v>
      </c>
      <c r="E78" s="22" t="s">
        <v>16</v>
      </c>
      <c r="F78" s="1" t="s">
        <v>5</v>
      </c>
      <c r="G78" s="26"/>
      <c r="H78" s="18" t="s">
        <v>27</v>
      </c>
      <c r="I78" s="18"/>
      <c r="J78" s="30"/>
      <c r="K78" s="22" t="str">
        <f>+CONCATENATE(Tablo1710612131618202224[[#This Row],[DOSYA NO]],"_",Tablo1710612131618202224[[#This Row],[MÜŞTERİ ADI]],$P$10,"_",Tablo1710612131618202224[[#This Row],[İŞİN ADI]],"_",Tablo1710612131618202224[[#This Row],[İŞİN TÜRÜ]])</f>
        <v>20260169___AKUSTİK RAPOR &amp; PROJE</v>
      </c>
    </row>
    <row r="79" spans="1:11" s="22" customFormat="1" ht="24.95" customHeight="1" x14ac:dyDescent="0.25">
      <c r="A79" s="21">
        <v>46030</v>
      </c>
      <c r="B79" s="22">
        <v>20260170</v>
      </c>
      <c r="E79" s="22" t="s">
        <v>17</v>
      </c>
      <c r="F79" s="1" t="s">
        <v>5</v>
      </c>
      <c r="G79" s="26"/>
      <c r="H79" s="18" t="s">
        <v>27</v>
      </c>
      <c r="I79" s="18"/>
      <c r="J79" s="30"/>
      <c r="K79" s="22" t="str">
        <f>+CONCATENATE(Tablo1710612131618202224[[#This Row],[DOSYA NO]],"_",Tablo1710612131618202224[[#This Row],[MÜŞTERİ ADI]],$P$10,"_",Tablo1710612131618202224[[#This Row],[İŞİN ADI]],"_",Tablo1710612131618202224[[#This Row],[İŞİN TÜRÜ]])</f>
        <v>20260170___ÖN HESAP SONUÇ FORMU</v>
      </c>
    </row>
    <row r="80" spans="1:11" s="22" customFormat="1" ht="24.95" customHeight="1" x14ac:dyDescent="0.25">
      <c r="A80" s="21">
        <v>46030</v>
      </c>
      <c r="B80" s="22">
        <v>20260171</v>
      </c>
      <c r="E80" s="22" t="s">
        <v>16</v>
      </c>
      <c r="F80" s="1" t="s">
        <v>5</v>
      </c>
      <c r="G80" s="26"/>
      <c r="H80" s="18" t="s">
        <v>27</v>
      </c>
      <c r="I80" s="18" t="s">
        <v>280</v>
      </c>
      <c r="J80" s="30"/>
      <c r="K80" s="22" t="str">
        <f>+CONCATENATE(Tablo1710612131618202224[[#This Row],[DOSYA NO]],"_",Tablo1710612131618202224[[#This Row],[MÜŞTERİ ADI]],$P$10,"_",Tablo1710612131618202224[[#This Row],[İŞİN ADI]],"_",Tablo1710612131618202224[[#This Row],[İŞİN TÜRÜ]])</f>
        <v>20260171___AKUSTİK RAPOR &amp; PROJE</v>
      </c>
    </row>
    <row r="81" spans="1:11" s="22" customFormat="1" ht="24.95" customHeight="1" x14ac:dyDescent="0.25">
      <c r="A81" s="21">
        <v>46030</v>
      </c>
      <c r="B81" s="22">
        <v>20260172</v>
      </c>
      <c r="E81" s="22" t="s">
        <v>16</v>
      </c>
      <c r="F81" s="1" t="s">
        <v>5</v>
      </c>
      <c r="G81" s="26"/>
      <c r="H81" s="18" t="s">
        <v>27</v>
      </c>
      <c r="I81" s="18"/>
      <c r="J81" s="30"/>
      <c r="K81" s="22" t="str">
        <f>+CONCATENATE(Tablo1710612131618202224[[#This Row],[DOSYA NO]],"_",Tablo1710612131618202224[[#This Row],[MÜŞTERİ ADI]],$P$10,"_",Tablo1710612131618202224[[#This Row],[İŞİN ADI]],"_",Tablo1710612131618202224[[#This Row],[İŞİN TÜRÜ]])</f>
        <v>20260172___AKUSTİK RAPOR &amp; PROJE</v>
      </c>
    </row>
    <row r="82" spans="1:11" s="22" customFormat="1" ht="24.95" customHeight="1" x14ac:dyDescent="0.25">
      <c r="A82" s="21">
        <v>46031</v>
      </c>
      <c r="B82" s="22">
        <v>20260173</v>
      </c>
      <c r="E82" s="22" t="s">
        <v>77</v>
      </c>
      <c r="F82" s="1" t="s">
        <v>5</v>
      </c>
      <c r="G82" s="26"/>
      <c r="H82" s="18" t="s">
        <v>27</v>
      </c>
      <c r="I82" s="18"/>
      <c r="J82" s="30"/>
      <c r="K82" s="22" t="str">
        <f>+CONCATENATE(Tablo1710612131618202224[[#This Row],[DOSYA NO]],"_",Tablo1710612131618202224[[#This Row],[MÜŞTERİ ADI]],$P$10,"_",Tablo1710612131618202224[[#This Row],[İŞİN ADI]],"_",Tablo1710612131618202224[[#This Row],[İŞİN TÜRÜ]])</f>
        <v>20260173___EKB ÇİZİM VE ONAYI</v>
      </c>
    </row>
    <row r="83" spans="1:11" s="22" customFormat="1" ht="24.95" customHeight="1" x14ac:dyDescent="0.25">
      <c r="A83" s="21">
        <v>46031</v>
      </c>
      <c r="B83" s="22">
        <v>20260174</v>
      </c>
      <c r="E83" s="22" t="s">
        <v>77</v>
      </c>
      <c r="F83" s="1" t="s">
        <v>5</v>
      </c>
      <c r="G83" s="26"/>
      <c r="H83" s="18" t="s">
        <v>27</v>
      </c>
      <c r="I83" s="18"/>
      <c r="J83" s="30"/>
      <c r="K83" s="22" t="str">
        <f>+CONCATENATE(Tablo1710612131618202224[[#This Row],[DOSYA NO]],"_",Tablo1710612131618202224[[#This Row],[MÜŞTERİ ADI]],$P$10,"_",Tablo1710612131618202224[[#This Row],[İŞİN ADI]],"_",Tablo1710612131618202224[[#This Row],[İŞİN TÜRÜ]])</f>
        <v>20260174___EKB ÇİZİM VE ONAYI</v>
      </c>
    </row>
    <row r="84" spans="1:11" s="22" customFormat="1" ht="24.95" customHeight="1" x14ac:dyDescent="0.25">
      <c r="A84" s="21">
        <v>46031</v>
      </c>
      <c r="B84" s="22">
        <v>20260175</v>
      </c>
      <c r="E84" s="22" t="s">
        <v>17</v>
      </c>
      <c r="F84" s="1" t="s">
        <v>5</v>
      </c>
      <c r="G84" s="26"/>
      <c r="H84" s="18" t="s">
        <v>27</v>
      </c>
      <c r="I84" s="18"/>
      <c r="J84" s="30"/>
      <c r="K84" s="22" t="str">
        <f>+CONCATENATE(Tablo1710612131618202224[[#This Row],[DOSYA NO]],"_",Tablo1710612131618202224[[#This Row],[MÜŞTERİ ADI]],$P$10,"_",Tablo1710612131618202224[[#This Row],[İŞİN ADI]],"_",Tablo1710612131618202224[[#This Row],[İŞİN TÜRÜ]])</f>
        <v>20260175___ÖN HESAP SONUÇ FORMU</v>
      </c>
    </row>
    <row r="85" spans="1:11" s="22" customFormat="1" ht="24.95" customHeight="1" x14ac:dyDescent="0.25">
      <c r="A85" s="21">
        <v>46031</v>
      </c>
      <c r="B85" s="22">
        <v>20260176</v>
      </c>
      <c r="E85" s="22" t="s">
        <v>62</v>
      </c>
      <c r="F85" s="1" t="s">
        <v>15</v>
      </c>
      <c r="G85" s="26"/>
      <c r="H85" s="18" t="s">
        <v>27</v>
      </c>
      <c r="I85" s="18"/>
      <c r="J85" s="30"/>
      <c r="K85" s="22" t="str">
        <f>+CONCATENATE(Tablo1710612131618202224[[#This Row],[DOSYA NO]],"_",Tablo1710612131618202224[[#This Row],[MÜŞTERİ ADI]],$P$10,"_",Tablo1710612131618202224[[#This Row],[İŞİN ADI]],"_",Tablo1710612131618202224[[#This Row],[İŞİN TÜRÜ]])</f>
        <v>20260176___EKB ÇİZİMİ</v>
      </c>
    </row>
    <row r="86" spans="1:11" s="22" customFormat="1" ht="24.95" customHeight="1" x14ac:dyDescent="0.25">
      <c r="A86" s="21">
        <v>46031</v>
      </c>
      <c r="B86" s="22">
        <v>20260177</v>
      </c>
      <c r="E86" s="22" t="s">
        <v>62</v>
      </c>
      <c r="F86" s="1" t="s">
        <v>5</v>
      </c>
      <c r="G86" s="26"/>
      <c r="H86" s="18" t="s">
        <v>27</v>
      </c>
      <c r="I86" s="18"/>
      <c r="J86" s="30" t="s">
        <v>299</v>
      </c>
      <c r="K86" s="22" t="str">
        <f>+CONCATENATE(Tablo1710612131618202224[[#This Row],[DOSYA NO]],"_",Tablo1710612131618202224[[#This Row],[MÜŞTERİ ADI]],$P$10,"_",Tablo1710612131618202224[[#This Row],[İŞİN ADI]],"_",Tablo1710612131618202224[[#This Row],[İŞİN TÜRÜ]])</f>
        <v>20260177___EKB ÇİZİMİ</v>
      </c>
    </row>
    <row r="87" spans="1:11" s="22" customFormat="1" ht="24.95" customHeight="1" x14ac:dyDescent="0.25">
      <c r="A87" s="21">
        <v>46031</v>
      </c>
      <c r="B87" s="22">
        <v>20260178</v>
      </c>
      <c r="E87" s="22" t="s">
        <v>62</v>
      </c>
      <c r="F87" s="1" t="s">
        <v>5</v>
      </c>
      <c r="G87" s="26"/>
      <c r="H87" s="18" t="s">
        <v>27</v>
      </c>
      <c r="I87" s="18"/>
      <c r="J87" s="30" t="s">
        <v>299</v>
      </c>
      <c r="K87" s="22" t="str">
        <f>+CONCATENATE(Tablo1710612131618202224[[#This Row],[DOSYA NO]],"_",Tablo1710612131618202224[[#This Row],[MÜŞTERİ ADI]],$P$10,"_",Tablo1710612131618202224[[#This Row],[İŞİN ADI]],"_",Tablo1710612131618202224[[#This Row],[İŞİN TÜRÜ]])</f>
        <v>20260178___EKB ÇİZİMİ</v>
      </c>
    </row>
    <row r="88" spans="1:11" s="22" customFormat="1" ht="24.95" customHeight="1" x14ac:dyDescent="0.25">
      <c r="A88" s="21">
        <v>46031</v>
      </c>
      <c r="B88" s="22">
        <v>20260179</v>
      </c>
      <c r="E88" s="22" t="s">
        <v>16</v>
      </c>
      <c r="F88" s="1" t="s">
        <v>5</v>
      </c>
      <c r="G88" s="26"/>
      <c r="H88" s="18" t="s">
        <v>27</v>
      </c>
      <c r="I88" s="18"/>
      <c r="J88" s="30"/>
      <c r="K88" s="22" t="str">
        <f>+CONCATENATE(Tablo1710612131618202224[[#This Row],[DOSYA NO]],"_",Tablo1710612131618202224[[#This Row],[MÜŞTERİ ADI]],$P$10,"_",Tablo1710612131618202224[[#This Row],[İŞİN ADI]],"_",Tablo1710612131618202224[[#This Row],[İŞİN TÜRÜ]])</f>
        <v>20260179___AKUSTİK RAPOR &amp; PROJE</v>
      </c>
    </row>
    <row r="89" spans="1:11" s="22" customFormat="1" ht="24.95" customHeight="1" x14ac:dyDescent="0.25">
      <c r="A89" s="21">
        <v>46031</v>
      </c>
      <c r="B89" s="22">
        <v>20260180</v>
      </c>
      <c r="E89" s="22" t="s">
        <v>62</v>
      </c>
      <c r="F89" s="1" t="s">
        <v>5</v>
      </c>
      <c r="G89" s="26"/>
      <c r="H89" s="18" t="s">
        <v>27</v>
      </c>
      <c r="I89" s="18"/>
      <c r="J89" s="30"/>
      <c r="K89" s="22" t="str">
        <f>+CONCATENATE(Tablo1710612131618202224[[#This Row],[DOSYA NO]],"_",Tablo1710612131618202224[[#This Row],[MÜŞTERİ ADI]],$P$10,"_",Tablo1710612131618202224[[#This Row],[İŞİN ADI]],"_",Tablo1710612131618202224[[#This Row],[İŞİN TÜRÜ]])</f>
        <v>20260180___EKB ÇİZİMİ</v>
      </c>
    </row>
    <row r="90" spans="1:11" s="22" customFormat="1" ht="24.95" customHeight="1" x14ac:dyDescent="0.25">
      <c r="A90" s="21">
        <v>46031</v>
      </c>
      <c r="B90" s="22">
        <v>20260181</v>
      </c>
      <c r="E90" s="22" t="s">
        <v>62</v>
      </c>
      <c r="F90" s="1" t="s">
        <v>5</v>
      </c>
      <c r="G90" s="26"/>
      <c r="H90" s="18" t="s">
        <v>27</v>
      </c>
      <c r="I90" s="18"/>
      <c r="J90" s="30"/>
      <c r="K90" s="22" t="str">
        <f>+CONCATENATE(Tablo1710612131618202224[[#This Row],[DOSYA NO]],"_",Tablo1710612131618202224[[#This Row],[MÜŞTERİ ADI]],$P$10,"_",Tablo1710612131618202224[[#This Row],[İŞİN ADI]],"_",Tablo1710612131618202224[[#This Row],[İŞİN TÜRÜ]])</f>
        <v>20260181___EKB ÇİZİMİ</v>
      </c>
    </row>
    <row r="91" spans="1:11" s="22" customFormat="1" ht="24.95" customHeight="1" x14ac:dyDescent="0.25">
      <c r="A91" s="21">
        <v>46031</v>
      </c>
      <c r="B91" s="22">
        <v>20260182</v>
      </c>
      <c r="E91" s="22" t="s">
        <v>62</v>
      </c>
      <c r="F91" s="1" t="s">
        <v>5</v>
      </c>
      <c r="G91" s="26"/>
      <c r="H91" s="18" t="s">
        <v>27</v>
      </c>
      <c r="I91" s="18"/>
      <c r="J91" s="30"/>
      <c r="K91" s="22" t="str">
        <f>+CONCATENATE(Tablo1710612131618202224[[#This Row],[DOSYA NO]],"_",Tablo1710612131618202224[[#This Row],[MÜŞTERİ ADI]],$P$10,"_",Tablo1710612131618202224[[#This Row],[İŞİN ADI]],"_",Tablo1710612131618202224[[#This Row],[İŞİN TÜRÜ]])</f>
        <v>20260182___EKB ÇİZİMİ</v>
      </c>
    </row>
    <row r="92" spans="1:11" s="22" customFormat="1" ht="24.95" customHeight="1" x14ac:dyDescent="0.25">
      <c r="A92" s="21">
        <v>46031</v>
      </c>
      <c r="B92" s="22">
        <v>20260183</v>
      </c>
      <c r="E92" s="22" t="s">
        <v>17</v>
      </c>
      <c r="F92" s="1" t="s">
        <v>5</v>
      </c>
      <c r="G92" s="26"/>
      <c r="H92" s="18" t="s">
        <v>27</v>
      </c>
      <c r="I92" s="18"/>
      <c r="J92" s="30"/>
      <c r="K92" s="22" t="str">
        <f>+CONCATENATE(Tablo1710612131618202224[[#This Row],[DOSYA NO]],"_",Tablo1710612131618202224[[#This Row],[MÜŞTERİ ADI]],$P$10,"_",Tablo1710612131618202224[[#This Row],[İŞİN ADI]],"_",Tablo1710612131618202224[[#This Row],[İŞİN TÜRÜ]])</f>
        <v>20260183___ÖN HESAP SONUÇ FORMU</v>
      </c>
    </row>
    <row r="93" spans="1:11" s="22" customFormat="1" ht="24.95" customHeight="1" x14ac:dyDescent="0.25">
      <c r="A93" s="21">
        <v>46031</v>
      </c>
      <c r="B93" s="22">
        <v>20260184</v>
      </c>
      <c r="E93" s="22" t="s">
        <v>16</v>
      </c>
      <c r="F93" s="1" t="s">
        <v>5</v>
      </c>
      <c r="G93" s="26"/>
      <c r="H93" s="18" t="s">
        <v>27</v>
      </c>
      <c r="I93" s="18"/>
      <c r="J93" s="30"/>
      <c r="K93" s="22" t="str">
        <f>+CONCATENATE(Tablo1710612131618202224[[#This Row],[DOSYA NO]],"_",Tablo1710612131618202224[[#This Row],[MÜŞTERİ ADI]],$P$10,"_",Tablo1710612131618202224[[#This Row],[İŞİN ADI]],"_",Tablo1710612131618202224[[#This Row],[İŞİN TÜRÜ]])</f>
        <v>20260184___AKUSTİK RAPOR &amp; PROJE</v>
      </c>
    </row>
    <row r="94" spans="1:11" s="22" customFormat="1" ht="24.95" customHeight="1" x14ac:dyDescent="0.25">
      <c r="A94" s="21">
        <v>46031</v>
      </c>
      <c r="B94" s="22">
        <v>20260185</v>
      </c>
      <c r="E94" s="22" t="s">
        <v>62</v>
      </c>
      <c r="F94" s="1" t="s">
        <v>5</v>
      </c>
      <c r="G94" s="26"/>
      <c r="H94" s="18" t="s">
        <v>27</v>
      </c>
      <c r="I94" s="18"/>
      <c r="J94" s="30"/>
      <c r="K94" s="22" t="str">
        <f>+CONCATENATE(Tablo1710612131618202224[[#This Row],[DOSYA NO]],"_",Tablo1710612131618202224[[#This Row],[MÜŞTERİ ADI]],$P$10,"_",Tablo1710612131618202224[[#This Row],[İŞİN ADI]],"_",Tablo1710612131618202224[[#This Row],[İŞİN TÜRÜ]])</f>
        <v>20260185___EKB ÇİZİMİ</v>
      </c>
    </row>
    <row r="95" spans="1:11" s="22" customFormat="1" ht="24.95" customHeight="1" x14ac:dyDescent="0.25">
      <c r="A95" s="21">
        <v>46031</v>
      </c>
      <c r="B95" s="22">
        <v>20260186</v>
      </c>
      <c r="E95" s="22" t="s">
        <v>62</v>
      </c>
      <c r="F95" s="1" t="s">
        <v>5</v>
      </c>
      <c r="G95" s="26"/>
      <c r="H95" s="18" t="s">
        <v>27</v>
      </c>
      <c r="I95" s="18" t="s">
        <v>278</v>
      </c>
      <c r="J95" s="30"/>
      <c r="K95" s="22" t="str">
        <f>+CONCATENATE(Tablo1710612131618202224[[#This Row],[DOSYA NO]],"_",Tablo1710612131618202224[[#This Row],[MÜŞTERİ ADI]],$P$10,"_",Tablo1710612131618202224[[#This Row],[İŞİN ADI]],"_",Tablo1710612131618202224[[#This Row],[İŞİN TÜRÜ]])</f>
        <v>20260186___EKB ÇİZİMİ</v>
      </c>
    </row>
    <row r="96" spans="1:11" s="22" customFormat="1" ht="24.95" customHeight="1" x14ac:dyDescent="0.25">
      <c r="A96" s="21">
        <v>46031</v>
      </c>
      <c r="B96" s="22">
        <v>20260187</v>
      </c>
      <c r="E96" s="22" t="s">
        <v>16</v>
      </c>
      <c r="F96" s="1" t="s">
        <v>5</v>
      </c>
      <c r="G96" s="26"/>
      <c r="H96" s="18" t="s">
        <v>27</v>
      </c>
      <c r="I96" s="18"/>
      <c r="J96" s="30"/>
      <c r="K96" s="22" t="str">
        <f>+CONCATENATE(Tablo1710612131618202224[[#This Row],[DOSYA NO]],"_",Tablo1710612131618202224[[#This Row],[MÜŞTERİ ADI]],$P$10,"_",Tablo1710612131618202224[[#This Row],[İŞİN ADI]],"_",Tablo1710612131618202224[[#This Row],[İŞİN TÜRÜ]])</f>
        <v>20260187___AKUSTİK RAPOR &amp; PROJE</v>
      </c>
    </row>
    <row r="97" spans="1:11" s="22" customFormat="1" ht="24.95" customHeight="1" x14ac:dyDescent="0.25">
      <c r="A97" s="21">
        <v>46031</v>
      </c>
      <c r="B97" s="22">
        <v>20260188</v>
      </c>
      <c r="E97" s="22" t="s">
        <v>16</v>
      </c>
      <c r="F97" s="1" t="s">
        <v>5</v>
      </c>
      <c r="G97" s="26"/>
      <c r="H97" s="18" t="s">
        <v>27</v>
      </c>
      <c r="I97" s="18"/>
      <c r="J97" s="30"/>
      <c r="K97" s="22" t="str">
        <f>+CONCATENATE(Tablo1710612131618202224[[#This Row],[DOSYA NO]],"_",Tablo1710612131618202224[[#This Row],[MÜŞTERİ ADI]],$P$10,"_",Tablo1710612131618202224[[#This Row],[İŞİN ADI]],"_",Tablo1710612131618202224[[#This Row],[İŞİN TÜRÜ]])</f>
        <v>20260188___AKUSTİK RAPOR &amp; PROJE</v>
      </c>
    </row>
    <row r="98" spans="1:11" s="22" customFormat="1" ht="24.95" customHeight="1" x14ac:dyDescent="0.25">
      <c r="A98" s="21">
        <v>46031</v>
      </c>
      <c r="B98" s="22">
        <v>20260189</v>
      </c>
      <c r="E98" s="22" t="s">
        <v>16</v>
      </c>
      <c r="F98" s="1" t="s">
        <v>5</v>
      </c>
      <c r="G98" s="26"/>
      <c r="H98" s="18" t="s">
        <v>27</v>
      </c>
      <c r="I98" s="18"/>
      <c r="J98" s="30"/>
      <c r="K98" s="22" t="str">
        <f>+CONCATENATE(Tablo1710612131618202224[[#This Row],[DOSYA NO]],"_",Tablo1710612131618202224[[#This Row],[MÜŞTERİ ADI]],$P$10,"_",Tablo1710612131618202224[[#This Row],[İŞİN ADI]],"_",Tablo1710612131618202224[[#This Row],[İŞİN TÜRÜ]])</f>
        <v>20260189___AKUSTİK RAPOR &amp; PROJE</v>
      </c>
    </row>
    <row r="99" spans="1:11" s="22" customFormat="1" ht="24.95" customHeight="1" x14ac:dyDescent="0.25">
      <c r="A99" s="21">
        <v>46031</v>
      </c>
      <c r="B99" s="22">
        <v>20260190</v>
      </c>
      <c r="E99" s="22" t="s">
        <v>16</v>
      </c>
      <c r="F99" s="1" t="s">
        <v>5</v>
      </c>
      <c r="G99" s="26"/>
      <c r="H99" s="18" t="s">
        <v>27</v>
      </c>
      <c r="I99" s="18"/>
      <c r="J99" s="30"/>
      <c r="K99" s="22" t="str">
        <f>+CONCATENATE(Tablo1710612131618202224[[#This Row],[DOSYA NO]],"_",Tablo1710612131618202224[[#This Row],[MÜŞTERİ ADI]],$P$10,"_",Tablo1710612131618202224[[#This Row],[İŞİN ADI]],"_",Tablo1710612131618202224[[#This Row],[İŞİN TÜRÜ]])</f>
        <v>20260190___AKUSTİK RAPOR &amp; PROJE</v>
      </c>
    </row>
    <row r="100" spans="1:11" s="22" customFormat="1" ht="24.95" customHeight="1" x14ac:dyDescent="0.25">
      <c r="A100" s="21">
        <v>46031</v>
      </c>
      <c r="B100" s="22">
        <v>20260191</v>
      </c>
      <c r="E100" s="22" t="s">
        <v>62</v>
      </c>
      <c r="F100" s="1" t="s">
        <v>5</v>
      </c>
      <c r="G100" s="26"/>
      <c r="H100" s="18" t="s">
        <v>27</v>
      </c>
      <c r="I100" s="18"/>
      <c r="J100" s="30"/>
      <c r="K100" s="22" t="str">
        <f>+CONCATENATE(Tablo1710612131618202224[[#This Row],[DOSYA NO]],"_",Tablo1710612131618202224[[#This Row],[MÜŞTERİ ADI]],$P$10,"_",Tablo1710612131618202224[[#This Row],[İŞİN ADI]],"_",Tablo1710612131618202224[[#This Row],[İŞİN TÜRÜ]])</f>
        <v>20260191___EKB ÇİZİMİ</v>
      </c>
    </row>
    <row r="101" spans="1:11" s="22" customFormat="1" ht="24.95" customHeight="1" x14ac:dyDescent="0.25">
      <c r="A101" s="21">
        <v>46031</v>
      </c>
      <c r="B101" s="22">
        <v>20260192</v>
      </c>
      <c r="E101" s="22" t="s">
        <v>62</v>
      </c>
      <c r="F101" s="1" t="s">
        <v>5</v>
      </c>
      <c r="G101" s="26"/>
      <c r="H101" s="18" t="s">
        <v>27</v>
      </c>
      <c r="I101" s="18"/>
      <c r="J101" s="30"/>
      <c r="K101" s="22" t="str">
        <f>+CONCATENATE(Tablo1710612131618202224[[#This Row],[DOSYA NO]],"_",Tablo1710612131618202224[[#This Row],[MÜŞTERİ ADI]],$P$10,"_",Tablo1710612131618202224[[#This Row],[İŞİN ADI]],"_",Tablo1710612131618202224[[#This Row],[İŞİN TÜRÜ]])</f>
        <v>20260192___EKB ÇİZİMİ</v>
      </c>
    </row>
    <row r="102" spans="1:11" s="22" customFormat="1" ht="24.95" customHeight="1" x14ac:dyDescent="0.25">
      <c r="A102" s="21">
        <v>46031</v>
      </c>
      <c r="B102" s="22">
        <v>20260193</v>
      </c>
      <c r="E102" s="22" t="s">
        <v>17</v>
      </c>
      <c r="F102" s="1" t="s">
        <v>5</v>
      </c>
      <c r="G102" s="26"/>
      <c r="H102" s="18" t="s">
        <v>27</v>
      </c>
      <c r="I102" s="18"/>
      <c r="J102" s="30"/>
      <c r="K102" s="22" t="str">
        <f>+CONCATENATE(Tablo1710612131618202224[[#This Row],[DOSYA NO]],"_",Tablo1710612131618202224[[#This Row],[MÜŞTERİ ADI]],$P$10,"_",Tablo1710612131618202224[[#This Row],[İŞİN ADI]],"_",Tablo1710612131618202224[[#This Row],[İŞİN TÜRÜ]])</f>
        <v>20260193___ÖN HESAP SONUÇ FORMU</v>
      </c>
    </row>
    <row r="103" spans="1:11" s="22" customFormat="1" ht="24.95" customHeight="1" x14ac:dyDescent="0.25">
      <c r="A103" s="21">
        <v>46031</v>
      </c>
      <c r="B103" s="22">
        <v>20260194</v>
      </c>
      <c r="E103" s="22" t="s">
        <v>16</v>
      </c>
      <c r="F103" s="1" t="s">
        <v>5</v>
      </c>
      <c r="G103" s="26"/>
      <c r="H103" s="18" t="s">
        <v>27</v>
      </c>
      <c r="I103" s="18"/>
      <c r="J103" s="30"/>
      <c r="K103" s="22" t="str">
        <f>+CONCATENATE(Tablo1710612131618202224[[#This Row],[DOSYA NO]],"_",Tablo1710612131618202224[[#This Row],[MÜŞTERİ ADI]],$P$10,"_",Tablo1710612131618202224[[#This Row],[İŞİN ADI]],"_",Tablo1710612131618202224[[#This Row],[İŞİN TÜRÜ]])</f>
        <v>20260194___AKUSTİK RAPOR &amp; PROJE</v>
      </c>
    </row>
    <row r="104" spans="1:11" s="22" customFormat="1" ht="24.95" customHeight="1" x14ac:dyDescent="0.25">
      <c r="A104" s="21">
        <v>46031</v>
      </c>
      <c r="B104" s="22">
        <v>20260195</v>
      </c>
      <c r="E104" s="22" t="s">
        <v>17</v>
      </c>
      <c r="F104" s="1" t="s">
        <v>5</v>
      </c>
      <c r="G104" s="26"/>
      <c r="H104" s="18" t="s">
        <v>27</v>
      </c>
      <c r="I104" s="18"/>
      <c r="J104" s="30"/>
      <c r="K104" s="22" t="str">
        <f>+CONCATENATE(Tablo1710612131618202224[[#This Row],[DOSYA NO]],"_",Tablo1710612131618202224[[#This Row],[MÜŞTERİ ADI]],$P$10,"_",Tablo1710612131618202224[[#This Row],[İŞİN ADI]],"_",Tablo1710612131618202224[[#This Row],[İŞİN TÜRÜ]])</f>
        <v>20260195___ÖN HESAP SONUÇ FORMU</v>
      </c>
    </row>
    <row r="105" spans="1:11" s="22" customFormat="1" ht="24.95" customHeight="1" x14ac:dyDescent="0.25">
      <c r="A105" s="21">
        <v>46031</v>
      </c>
      <c r="B105" s="22">
        <v>20260196</v>
      </c>
      <c r="E105" s="22" t="s">
        <v>62</v>
      </c>
      <c r="F105" s="1" t="s">
        <v>5</v>
      </c>
      <c r="G105" s="26"/>
      <c r="H105" s="18" t="s">
        <v>27</v>
      </c>
      <c r="I105" s="18"/>
      <c r="J105" s="30"/>
      <c r="K105" s="22" t="str">
        <f>+CONCATENATE(Tablo1710612131618202224[[#This Row],[DOSYA NO]],"_",Tablo1710612131618202224[[#This Row],[MÜŞTERİ ADI]],$P$10,"_",Tablo1710612131618202224[[#This Row],[İŞİN ADI]],"_",Tablo1710612131618202224[[#This Row],[İŞİN TÜRÜ]])</f>
        <v>20260196___EKB ÇİZİMİ</v>
      </c>
    </row>
    <row r="106" spans="1:11" s="22" customFormat="1" ht="24.95" customHeight="1" x14ac:dyDescent="0.25">
      <c r="A106" s="21">
        <v>46031</v>
      </c>
      <c r="B106" s="22">
        <v>20260197</v>
      </c>
      <c r="E106" s="22" t="s">
        <v>62</v>
      </c>
      <c r="F106" s="1" t="s">
        <v>5</v>
      </c>
      <c r="G106" s="26"/>
      <c r="H106" s="18" t="s">
        <v>27</v>
      </c>
      <c r="I106" s="18"/>
      <c r="J106" s="30"/>
      <c r="K106" s="22" t="str">
        <f>+CONCATENATE(Tablo1710612131618202224[[#This Row],[DOSYA NO]],"_",Tablo1710612131618202224[[#This Row],[MÜŞTERİ ADI]],$P$10,"_",Tablo1710612131618202224[[#This Row],[İŞİN ADI]],"_",Tablo1710612131618202224[[#This Row],[İŞİN TÜRÜ]])</f>
        <v>20260197___EKB ÇİZİMİ</v>
      </c>
    </row>
    <row r="107" spans="1:11" s="22" customFormat="1" ht="24.95" customHeight="1" x14ac:dyDescent="0.25">
      <c r="A107" s="21">
        <v>46031</v>
      </c>
      <c r="B107" s="22">
        <v>20260198</v>
      </c>
      <c r="E107" s="22" t="s">
        <v>62</v>
      </c>
      <c r="F107" s="1" t="s">
        <v>5</v>
      </c>
      <c r="G107" s="26"/>
      <c r="H107" s="18" t="s">
        <v>27</v>
      </c>
      <c r="I107" s="18"/>
      <c r="J107" s="30"/>
      <c r="K107" s="22" t="str">
        <f>+CONCATENATE(Tablo1710612131618202224[[#This Row],[DOSYA NO]],"_",Tablo1710612131618202224[[#This Row],[MÜŞTERİ ADI]],$P$10,"_",Tablo1710612131618202224[[#This Row],[İŞİN ADI]],"_",Tablo1710612131618202224[[#This Row],[İŞİN TÜRÜ]])</f>
        <v>20260198___EKB ÇİZİMİ</v>
      </c>
    </row>
    <row r="108" spans="1:11" s="22" customFormat="1" ht="24.95" customHeight="1" x14ac:dyDescent="0.25">
      <c r="A108" s="21">
        <v>46031</v>
      </c>
      <c r="B108" s="22">
        <v>20260199</v>
      </c>
      <c r="E108" s="22" t="s">
        <v>17</v>
      </c>
      <c r="F108" s="1" t="s">
        <v>5</v>
      </c>
      <c r="G108" s="26"/>
      <c r="H108" s="18" t="s">
        <v>27</v>
      </c>
      <c r="I108" s="18"/>
      <c r="J108" s="30"/>
      <c r="K108" s="22" t="str">
        <f>+CONCATENATE(Tablo1710612131618202224[[#This Row],[DOSYA NO]],"_",Tablo1710612131618202224[[#This Row],[MÜŞTERİ ADI]],$P$10,"_",Tablo1710612131618202224[[#This Row],[İŞİN ADI]],"_",Tablo1710612131618202224[[#This Row],[İŞİN TÜRÜ]])</f>
        <v>20260199___ÖN HESAP SONUÇ FORMU</v>
      </c>
    </row>
    <row r="109" spans="1:11" s="22" customFormat="1" ht="24.95" customHeight="1" x14ac:dyDescent="0.25">
      <c r="A109" s="21">
        <v>46032</v>
      </c>
      <c r="B109" s="22">
        <v>202601100</v>
      </c>
      <c r="E109" s="22" t="s">
        <v>16</v>
      </c>
      <c r="F109" s="1" t="s">
        <v>5</v>
      </c>
      <c r="G109" s="26"/>
      <c r="H109" s="18" t="s">
        <v>27</v>
      </c>
      <c r="I109" s="18"/>
      <c r="J109" s="30"/>
      <c r="K109" s="22" t="str">
        <f>+CONCATENATE(Tablo1710612131618202224[[#This Row],[DOSYA NO]],"_",Tablo1710612131618202224[[#This Row],[MÜŞTERİ ADI]],$P$10,"_",Tablo1710612131618202224[[#This Row],[İŞİN ADI]],"_",Tablo1710612131618202224[[#This Row],[İŞİN TÜRÜ]])</f>
        <v>202601100___AKUSTİK RAPOR &amp; PROJE</v>
      </c>
    </row>
    <row r="110" spans="1:11" s="22" customFormat="1" ht="24.95" customHeight="1" x14ac:dyDescent="0.25">
      <c r="A110" s="21">
        <v>46032</v>
      </c>
      <c r="B110" s="22">
        <v>202601101</v>
      </c>
      <c r="E110" s="22" t="s">
        <v>16</v>
      </c>
      <c r="F110" s="1" t="s">
        <v>5</v>
      </c>
      <c r="G110" s="26"/>
      <c r="H110" s="18" t="s">
        <v>27</v>
      </c>
      <c r="I110" s="18"/>
      <c r="J110" s="30"/>
      <c r="K110" s="22" t="str">
        <f>+CONCATENATE(Tablo1710612131618202224[[#This Row],[DOSYA NO]],"_",Tablo1710612131618202224[[#This Row],[MÜŞTERİ ADI]],$P$10,"_",Tablo1710612131618202224[[#This Row],[İŞİN ADI]],"_",Tablo1710612131618202224[[#This Row],[İŞİN TÜRÜ]])</f>
        <v>202601101___AKUSTİK RAPOR &amp; PROJE</v>
      </c>
    </row>
    <row r="111" spans="1:11" s="22" customFormat="1" ht="24.95" customHeight="1" x14ac:dyDescent="0.25">
      <c r="A111" s="21">
        <v>46032</v>
      </c>
      <c r="B111" s="22">
        <v>202601102</v>
      </c>
      <c r="E111" s="22" t="s">
        <v>62</v>
      </c>
      <c r="F111" s="1" t="s">
        <v>5</v>
      </c>
      <c r="G111" s="26"/>
      <c r="H111" s="18" t="s">
        <v>27</v>
      </c>
      <c r="I111" s="18" t="s">
        <v>278</v>
      </c>
      <c r="J111" s="30"/>
      <c r="K111" s="22" t="str">
        <f>+CONCATENATE(Tablo1710612131618202224[[#This Row],[DOSYA NO]],"_",Tablo1710612131618202224[[#This Row],[MÜŞTERİ ADI]],$P$10,"_",Tablo1710612131618202224[[#This Row],[İŞİN ADI]],"_",Tablo1710612131618202224[[#This Row],[İŞİN TÜRÜ]])</f>
        <v>202601102___EKB ÇİZİMİ</v>
      </c>
    </row>
    <row r="112" spans="1:11" s="22" customFormat="1" ht="24.95" customHeight="1" x14ac:dyDescent="0.25">
      <c r="A112" s="21">
        <v>46032</v>
      </c>
      <c r="B112" s="22">
        <v>202601103</v>
      </c>
      <c r="E112" s="22" t="s">
        <v>62</v>
      </c>
      <c r="F112" s="1" t="s">
        <v>5</v>
      </c>
      <c r="G112" s="26"/>
      <c r="H112" s="18" t="s">
        <v>27</v>
      </c>
      <c r="I112" s="18"/>
      <c r="J112" s="30"/>
      <c r="K112" s="22" t="str">
        <f>+CONCATENATE(Tablo1710612131618202224[[#This Row],[DOSYA NO]],"_",Tablo1710612131618202224[[#This Row],[MÜŞTERİ ADI]],$P$10,"_",Tablo1710612131618202224[[#This Row],[İŞİN ADI]],"_",Tablo1710612131618202224[[#This Row],[İŞİN TÜRÜ]])</f>
        <v>202601103___EKB ÇİZİMİ</v>
      </c>
    </row>
    <row r="113" spans="1:11" s="22" customFormat="1" ht="24.95" customHeight="1" x14ac:dyDescent="0.25">
      <c r="A113" s="21">
        <v>46032</v>
      </c>
      <c r="B113" s="22">
        <v>202601104</v>
      </c>
      <c r="E113" s="22" t="s">
        <v>16</v>
      </c>
      <c r="F113" s="1" t="s">
        <v>5</v>
      </c>
      <c r="G113" s="26"/>
      <c r="H113" s="18" t="s">
        <v>27</v>
      </c>
      <c r="I113" s="18"/>
      <c r="J113" s="30"/>
      <c r="K113" s="22" t="str">
        <f>+CONCATENATE(Tablo1710612131618202224[[#This Row],[DOSYA NO]],"_",Tablo1710612131618202224[[#This Row],[MÜŞTERİ ADI]],$P$10,"_",Tablo1710612131618202224[[#This Row],[İŞİN ADI]],"_",Tablo1710612131618202224[[#This Row],[İŞİN TÜRÜ]])</f>
        <v>202601104___AKUSTİK RAPOR &amp; PROJE</v>
      </c>
    </row>
    <row r="114" spans="1:11" s="22" customFormat="1" ht="24.95" customHeight="1" x14ac:dyDescent="0.25">
      <c r="A114" s="21">
        <v>46034</v>
      </c>
      <c r="B114" s="22">
        <v>202601105</v>
      </c>
      <c r="E114" s="22" t="s">
        <v>62</v>
      </c>
      <c r="F114" s="1" t="s">
        <v>5</v>
      </c>
      <c r="G114" s="26"/>
      <c r="H114" s="18" t="s">
        <v>27</v>
      </c>
      <c r="I114" s="18"/>
      <c r="J114" s="30"/>
      <c r="K114" s="22" t="str">
        <f>+CONCATENATE(Tablo1710612131618202224[[#This Row],[DOSYA NO]],"_",Tablo1710612131618202224[[#This Row],[MÜŞTERİ ADI]],$P$10,"_",Tablo1710612131618202224[[#This Row],[İŞİN ADI]],"_",Tablo1710612131618202224[[#This Row],[İŞİN TÜRÜ]])</f>
        <v>202601105___EKB ÇİZİMİ</v>
      </c>
    </row>
    <row r="115" spans="1:11" s="22" customFormat="1" ht="24.95" customHeight="1" x14ac:dyDescent="0.25">
      <c r="A115" s="21">
        <v>46034</v>
      </c>
      <c r="B115" s="22">
        <v>202601106</v>
      </c>
      <c r="E115" s="22" t="s">
        <v>17</v>
      </c>
      <c r="F115" s="1" t="s">
        <v>5</v>
      </c>
      <c r="G115" s="26"/>
      <c r="H115" s="18" t="s">
        <v>27</v>
      </c>
      <c r="I115" s="18"/>
      <c r="J115" s="30"/>
      <c r="K115" s="22" t="str">
        <f>+CONCATENATE(Tablo1710612131618202224[[#This Row],[DOSYA NO]],"_",Tablo1710612131618202224[[#This Row],[MÜŞTERİ ADI]],$P$10,"_",Tablo1710612131618202224[[#This Row],[İŞİN ADI]],"_",Tablo1710612131618202224[[#This Row],[İŞİN TÜRÜ]])</f>
        <v>202601106___ÖN HESAP SONUÇ FORMU</v>
      </c>
    </row>
    <row r="116" spans="1:11" s="22" customFormat="1" ht="24.95" customHeight="1" x14ac:dyDescent="0.25">
      <c r="A116" s="21">
        <v>46034</v>
      </c>
      <c r="B116" s="22">
        <v>202601107</v>
      </c>
      <c r="E116" s="22" t="s">
        <v>16</v>
      </c>
      <c r="F116" s="1" t="s">
        <v>5</v>
      </c>
      <c r="G116" s="26"/>
      <c r="H116" s="18" t="s">
        <v>27</v>
      </c>
      <c r="I116" s="18"/>
      <c r="J116" s="30"/>
      <c r="K116" s="22" t="str">
        <f>+CONCATENATE(Tablo1710612131618202224[[#This Row],[DOSYA NO]],"_",Tablo1710612131618202224[[#This Row],[MÜŞTERİ ADI]],$P$10,"_",Tablo1710612131618202224[[#This Row],[İŞİN ADI]],"_",Tablo1710612131618202224[[#This Row],[İŞİN TÜRÜ]])</f>
        <v>202601107___AKUSTİK RAPOR &amp; PROJE</v>
      </c>
    </row>
    <row r="117" spans="1:11" s="22" customFormat="1" ht="24.95" customHeight="1" x14ac:dyDescent="0.25">
      <c r="A117" s="21">
        <v>46034</v>
      </c>
      <c r="B117" s="22">
        <v>202601108</v>
      </c>
      <c r="E117" s="22" t="s">
        <v>17</v>
      </c>
      <c r="F117" s="1" t="s">
        <v>5</v>
      </c>
      <c r="G117" s="26"/>
      <c r="H117" s="18" t="s">
        <v>27</v>
      </c>
      <c r="I117" s="18"/>
      <c r="J117" s="30"/>
      <c r="K117" s="22" t="str">
        <f>+CONCATENATE(Tablo1710612131618202224[[#This Row],[DOSYA NO]],"_",Tablo1710612131618202224[[#This Row],[MÜŞTERİ ADI]],$P$10,"_",Tablo1710612131618202224[[#This Row],[İŞİN ADI]],"_",Tablo1710612131618202224[[#This Row],[İŞİN TÜRÜ]])</f>
        <v>202601108___ÖN HESAP SONUÇ FORMU</v>
      </c>
    </row>
    <row r="118" spans="1:11" s="22" customFormat="1" ht="24.95" customHeight="1" x14ac:dyDescent="0.25">
      <c r="A118" s="21">
        <v>46034</v>
      </c>
      <c r="B118" s="22">
        <v>202601109</v>
      </c>
      <c r="E118" s="22" t="s">
        <v>16</v>
      </c>
      <c r="F118" s="1" t="s">
        <v>5</v>
      </c>
      <c r="G118" s="26"/>
      <c r="H118" s="18" t="s">
        <v>27</v>
      </c>
      <c r="I118" s="18"/>
      <c r="J118" s="30"/>
      <c r="K118" s="22" t="str">
        <f>+CONCATENATE(Tablo1710612131618202224[[#This Row],[DOSYA NO]],"_",Tablo1710612131618202224[[#This Row],[MÜŞTERİ ADI]],$P$10,"_",Tablo1710612131618202224[[#This Row],[İŞİN ADI]],"_",Tablo1710612131618202224[[#This Row],[İŞİN TÜRÜ]])</f>
        <v>202601109___AKUSTİK RAPOR &amp; PROJE</v>
      </c>
    </row>
    <row r="119" spans="1:11" s="22" customFormat="1" ht="24.95" customHeight="1" x14ac:dyDescent="0.25">
      <c r="A119" s="21">
        <v>46034</v>
      </c>
      <c r="B119" s="22">
        <v>202601110</v>
      </c>
      <c r="E119" s="22" t="s">
        <v>62</v>
      </c>
      <c r="F119" s="1" t="s">
        <v>5</v>
      </c>
      <c r="G119" s="26"/>
      <c r="H119" s="18" t="s">
        <v>27</v>
      </c>
      <c r="I119" s="18"/>
      <c r="J119" s="30"/>
      <c r="K119" s="22" t="str">
        <f>+CONCATENATE(Tablo1710612131618202224[[#This Row],[DOSYA NO]],"_",Tablo1710612131618202224[[#This Row],[MÜŞTERİ ADI]],$P$10,"_",Tablo1710612131618202224[[#This Row],[İŞİN ADI]],"_",Tablo1710612131618202224[[#This Row],[İŞİN TÜRÜ]])</f>
        <v>202601110___EKB ÇİZİMİ</v>
      </c>
    </row>
    <row r="120" spans="1:11" s="22" customFormat="1" ht="24.95" customHeight="1" x14ac:dyDescent="0.25">
      <c r="A120" s="21">
        <v>46034</v>
      </c>
      <c r="B120" s="22">
        <v>202601111</v>
      </c>
      <c r="E120" s="22" t="s">
        <v>17</v>
      </c>
      <c r="F120" s="1" t="s">
        <v>5</v>
      </c>
      <c r="G120" s="26"/>
      <c r="H120" s="18" t="s">
        <v>27</v>
      </c>
      <c r="I120" s="18"/>
      <c r="J120" s="30"/>
      <c r="K120" s="22" t="str">
        <f>+CONCATENATE(Tablo1710612131618202224[[#This Row],[DOSYA NO]],"_",Tablo1710612131618202224[[#This Row],[MÜŞTERİ ADI]],$P$10,"_",Tablo1710612131618202224[[#This Row],[İŞİN ADI]],"_",Tablo1710612131618202224[[#This Row],[İŞİN TÜRÜ]])</f>
        <v>202601111___ÖN HESAP SONUÇ FORMU</v>
      </c>
    </row>
    <row r="121" spans="1:11" s="22" customFormat="1" ht="24.95" customHeight="1" x14ac:dyDescent="0.25">
      <c r="A121" s="21">
        <v>46034</v>
      </c>
      <c r="B121" s="22">
        <v>202601112</v>
      </c>
      <c r="E121" s="22" t="s">
        <v>17</v>
      </c>
      <c r="F121" s="1" t="s">
        <v>5</v>
      </c>
      <c r="G121" s="26"/>
      <c r="H121" s="18" t="s">
        <v>27</v>
      </c>
      <c r="I121" s="18"/>
      <c r="J121" s="30"/>
      <c r="K121" s="22" t="str">
        <f>+CONCATENATE(Tablo1710612131618202224[[#This Row],[DOSYA NO]],"_",Tablo1710612131618202224[[#This Row],[MÜŞTERİ ADI]],$P$10,"_",Tablo1710612131618202224[[#This Row],[İŞİN ADI]],"_",Tablo1710612131618202224[[#This Row],[İŞİN TÜRÜ]])</f>
        <v>202601112___ÖN HESAP SONUÇ FORMU</v>
      </c>
    </row>
    <row r="122" spans="1:11" s="22" customFormat="1" ht="24.95" customHeight="1" x14ac:dyDescent="0.25">
      <c r="A122" s="21">
        <v>46035</v>
      </c>
      <c r="B122" s="22">
        <v>202601113</v>
      </c>
      <c r="E122" s="22" t="s">
        <v>16</v>
      </c>
      <c r="F122" s="1" t="s">
        <v>5</v>
      </c>
      <c r="G122" s="26"/>
      <c r="H122" s="18" t="s">
        <v>27</v>
      </c>
      <c r="I122" s="18"/>
      <c r="J122" s="30"/>
      <c r="K122" s="22" t="str">
        <f>+CONCATENATE(Tablo1710612131618202224[[#This Row],[DOSYA NO]],"_",Tablo1710612131618202224[[#This Row],[MÜŞTERİ ADI]],$P$10,"_",Tablo1710612131618202224[[#This Row],[İŞİN ADI]],"_",Tablo1710612131618202224[[#This Row],[İŞİN TÜRÜ]])</f>
        <v>202601113___AKUSTİK RAPOR &amp; PROJE</v>
      </c>
    </row>
    <row r="123" spans="1:11" s="22" customFormat="1" ht="24.95" customHeight="1" x14ac:dyDescent="0.25">
      <c r="A123" s="21">
        <v>46035</v>
      </c>
      <c r="B123" s="22">
        <v>202601114</v>
      </c>
      <c r="E123" s="22" t="s">
        <v>62</v>
      </c>
      <c r="F123" s="1" t="s">
        <v>5</v>
      </c>
      <c r="G123" s="26"/>
      <c r="H123" s="18" t="s">
        <v>27</v>
      </c>
      <c r="I123" s="18"/>
      <c r="J123" s="30"/>
      <c r="K123" s="22" t="str">
        <f>+CONCATENATE(Tablo1710612131618202224[[#This Row],[DOSYA NO]],"_",Tablo1710612131618202224[[#This Row],[MÜŞTERİ ADI]],$P$10,"_",Tablo1710612131618202224[[#This Row],[İŞİN ADI]],"_",Tablo1710612131618202224[[#This Row],[İŞİN TÜRÜ]])</f>
        <v>202601114___EKB ÇİZİMİ</v>
      </c>
    </row>
    <row r="124" spans="1:11" s="22" customFormat="1" ht="24.95" customHeight="1" x14ac:dyDescent="0.25">
      <c r="A124" s="21">
        <v>46035</v>
      </c>
      <c r="B124" s="22">
        <v>202601115</v>
      </c>
      <c r="E124" s="22" t="s">
        <v>17</v>
      </c>
      <c r="F124" s="1" t="s">
        <v>5</v>
      </c>
      <c r="G124" s="26"/>
      <c r="H124" s="18" t="s">
        <v>27</v>
      </c>
      <c r="I124" s="18"/>
      <c r="J124" s="30"/>
      <c r="K124" s="22" t="str">
        <f>+CONCATENATE(Tablo1710612131618202224[[#This Row],[DOSYA NO]],"_",Tablo1710612131618202224[[#This Row],[MÜŞTERİ ADI]],$P$10,"_",Tablo1710612131618202224[[#This Row],[İŞİN ADI]],"_",Tablo1710612131618202224[[#This Row],[İŞİN TÜRÜ]])</f>
        <v>202601115___ÖN HESAP SONUÇ FORMU</v>
      </c>
    </row>
    <row r="125" spans="1:11" s="22" customFormat="1" ht="24.95" customHeight="1" x14ac:dyDescent="0.25">
      <c r="A125" s="21">
        <v>46035</v>
      </c>
      <c r="B125" s="22">
        <v>202601116</v>
      </c>
      <c r="E125" s="22" t="s">
        <v>17</v>
      </c>
      <c r="F125" s="1" t="s">
        <v>5</v>
      </c>
      <c r="G125" s="26"/>
      <c r="H125" s="18" t="s">
        <v>27</v>
      </c>
      <c r="I125" s="18"/>
      <c r="J125" s="30"/>
      <c r="K125" s="22" t="str">
        <f>+CONCATENATE(Tablo1710612131618202224[[#This Row],[DOSYA NO]],"_",Tablo1710612131618202224[[#This Row],[MÜŞTERİ ADI]],$P$10,"_",Tablo1710612131618202224[[#This Row],[İŞİN ADI]],"_",Tablo1710612131618202224[[#This Row],[İŞİN TÜRÜ]])</f>
        <v>202601116___ÖN HESAP SONUÇ FORMU</v>
      </c>
    </row>
    <row r="126" spans="1:11" s="22" customFormat="1" ht="24.95" customHeight="1" x14ac:dyDescent="0.25">
      <c r="A126" s="21">
        <v>46035</v>
      </c>
      <c r="B126" s="22">
        <v>202601117</v>
      </c>
      <c r="E126" s="22" t="s">
        <v>62</v>
      </c>
      <c r="F126" s="1" t="s">
        <v>5</v>
      </c>
      <c r="G126" s="26"/>
      <c r="H126" s="18" t="s">
        <v>27</v>
      </c>
      <c r="I126" s="18"/>
      <c r="J126" s="30"/>
      <c r="K126" s="22" t="str">
        <f>+CONCATENATE(Tablo1710612131618202224[[#This Row],[DOSYA NO]],"_",Tablo1710612131618202224[[#This Row],[MÜŞTERİ ADI]],$P$10,"_",Tablo1710612131618202224[[#This Row],[İŞİN ADI]],"_",Tablo1710612131618202224[[#This Row],[İŞİN TÜRÜ]])</f>
        <v>202601117___EKB ÇİZİMİ</v>
      </c>
    </row>
    <row r="127" spans="1:11" s="22" customFormat="1" ht="24.95" customHeight="1" x14ac:dyDescent="0.25">
      <c r="A127" s="21">
        <v>46035</v>
      </c>
      <c r="B127" s="22">
        <v>202601118</v>
      </c>
      <c r="E127" s="22" t="s">
        <v>77</v>
      </c>
      <c r="F127" s="1" t="s">
        <v>6</v>
      </c>
      <c r="G127" s="26"/>
      <c r="H127" s="18" t="s">
        <v>22</v>
      </c>
      <c r="I127" s="18"/>
      <c r="J127" s="30"/>
      <c r="K127" s="22" t="str">
        <f>+CONCATENATE(Tablo1710612131618202224[[#This Row],[DOSYA NO]],"_",Tablo1710612131618202224[[#This Row],[MÜŞTERİ ADI]],$P$10,"_",Tablo1710612131618202224[[#This Row],[İŞİN ADI]],"_",Tablo1710612131618202224[[#This Row],[İŞİN TÜRÜ]])</f>
        <v>202601118___EKB ÇİZİM VE ONAYI</v>
      </c>
    </row>
    <row r="128" spans="1:11" s="22" customFormat="1" ht="24.95" customHeight="1" x14ac:dyDescent="0.25">
      <c r="A128" s="21">
        <v>46035</v>
      </c>
      <c r="B128" s="22">
        <v>202601119</v>
      </c>
      <c r="E128" s="22" t="s">
        <v>62</v>
      </c>
      <c r="F128" s="1" t="s">
        <v>5</v>
      </c>
      <c r="G128" s="26"/>
      <c r="H128" s="18" t="s">
        <v>27</v>
      </c>
      <c r="I128" s="18"/>
      <c r="J128" s="30"/>
      <c r="K128" s="22" t="str">
        <f>+CONCATENATE(Tablo1710612131618202224[[#This Row],[DOSYA NO]],"_",Tablo1710612131618202224[[#This Row],[MÜŞTERİ ADI]],$P$10,"_",Tablo1710612131618202224[[#This Row],[İŞİN ADI]],"_",Tablo1710612131618202224[[#This Row],[İŞİN TÜRÜ]])</f>
        <v>202601119___EKB ÇİZİMİ</v>
      </c>
    </row>
    <row r="129" spans="1:11" s="22" customFormat="1" ht="24.95" customHeight="1" x14ac:dyDescent="0.25">
      <c r="A129" s="21">
        <v>46035</v>
      </c>
      <c r="B129" s="22">
        <v>202601120</v>
      </c>
      <c r="E129" s="22" t="s">
        <v>16</v>
      </c>
      <c r="F129" s="1" t="s">
        <v>5</v>
      </c>
      <c r="G129" s="26"/>
      <c r="H129" s="18" t="s">
        <v>27</v>
      </c>
      <c r="I129" s="18"/>
      <c r="J129" s="30"/>
      <c r="K129" s="22" t="str">
        <f>+CONCATENATE(Tablo1710612131618202224[[#This Row],[DOSYA NO]],"_",Tablo1710612131618202224[[#This Row],[MÜŞTERİ ADI]],$P$10,"_",Tablo1710612131618202224[[#This Row],[İŞİN ADI]],"_",Tablo1710612131618202224[[#This Row],[İŞİN TÜRÜ]])</f>
        <v>202601120___AKUSTİK RAPOR &amp; PROJE</v>
      </c>
    </row>
    <row r="130" spans="1:11" s="22" customFormat="1" ht="24.95" customHeight="1" x14ac:dyDescent="0.25">
      <c r="A130" s="21">
        <v>46035</v>
      </c>
      <c r="B130" s="22">
        <v>202601121</v>
      </c>
      <c r="E130" s="22" t="s">
        <v>77</v>
      </c>
      <c r="F130" s="1" t="s">
        <v>5</v>
      </c>
      <c r="G130" s="26"/>
      <c r="H130" s="18" t="s">
        <v>27</v>
      </c>
      <c r="I130" s="18"/>
      <c r="J130" s="30"/>
      <c r="K130" s="22" t="str">
        <f>+CONCATENATE(Tablo1710612131618202224[[#This Row],[DOSYA NO]],"_",Tablo1710612131618202224[[#This Row],[MÜŞTERİ ADI]],$P$10,"_",Tablo1710612131618202224[[#This Row],[İŞİN ADI]],"_",Tablo1710612131618202224[[#This Row],[İŞİN TÜRÜ]])</f>
        <v>202601121___EKB ÇİZİM VE ONAYI</v>
      </c>
    </row>
    <row r="131" spans="1:11" s="22" customFormat="1" ht="24.95" customHeight="1" x14ac:dyDescent="0.25">
      <c r="A131" s="21">
        <v>46035</v>
      </c>
      <c r="B131" s="22">
        <v>202601122</v>
      </c>
      <c r="E131" s="22" t="s">
        <v>77</v>
      </c>
      <c r="F131" s="1" t="s">
        <v>5</v>
      </c>
      <c r="G131" s="26"/>
      <c r="H131" s="18" t="s">
        <v>22</v>
      </c>
      <c r="I131" s="18"/>
      <c r="J131" s="30"/>
      <c r="K131" s="22" t="str">
        <f>+CONCATENATE(Tablo1710612131618202224[[#This Row],[DOSYA NO]],"_",Tablo1710612131618202224[[#This Row],[MÜŞTERİ ADI]],$P$10,"_",Tablo1710612131618202224[[#This Row],[İŞİN ADI]],"_",Tablo1710612131618202224[[#This Row],[İŞİN TÜRÜ]])</f>
        <v>202601122___EKB ÇİZİM VE ONAYI</v>
      </c>
    </row>
    <row r="132" spans="1:11" s="22" customFormat="1" ht="24.95" customHeight="1" x14ac:dyDescent="0.25">
      <c r="A132" s="21">
        <v>46035</v>
      </c>
      <c r="B132" s="22">
        <v>202601123</v>
      </c>
      <c r="E132" s="22" t="s">
        <v>16</v>
      </c>
      <c r="F132" s="1" t="s">
        <v>5</v>
      </c>
      <c r="G132" s="26"/>
      <c r="H132" s="18" t="s">
        <v>27</v>
      </c>
      <c r="I132" s="18"/>
      <c r="J132" s="30"/>
      <c r="K132" s="22" t="str">
        <f>+CONCATENATE(Tablo1710612131618202224[[#This Row],[DOSYA NO]],"_",Tablo1710612131618202224[[#This Row],[MÜŞTERİ ADI]],$P$10,"_",Tablo1710612131618202224[[#This Row],[İŞİN ADI]],"_",Tablo1710612131618202224[[#This Row],[İŞİN TÜRÜ]])</f>
        <v>202601123___AKUSTİK RAPOR &amp; PROJE</v>
      </c>
    </row>
    <row r="133" spans="1:11" s="22" customFormat="1" ht="24.95" customHeight="1" x14ac:dyDescent="0.25">
      <c r="A133" s="21">
        <v>46035</v>
      </c>
      <c r="B133" s="22">
        <v>202601124</v>
      </c>
      <c r="E133" s="22" t="s">
        <v>17</v>
      </c>
      <c r="F133" s="1" t="s">
        <v>5</v>
      </c>
      <c r="G133" s="26"/>
      <c r="H133" s="18" t="s">
        <v>27</v>
      </c>
      <c r="I133" s="18"/>
      <c r="J133" s="30"/>
      <c r="K133" s="22" t="str">
        <f>+CONCATENATE(Tablo1710612131618202224[[#This Row],[DOSYA NO]],"_",Tablo1710612131618202224[[#This Row],[MÜŞTERİ ADI]],$P$10,"_",Tablo1710612131618202224[[#This Row],[İŞİN ADI]],"_",Tablo1710612131618202224[[#This Row],[İŞİN TÜRÜ]])</f>
        <v>202601124___ÖN HESAP SONUÇ FORMU</v>
      </c>
    </row>
    <row r="134" spans="1:11" s="22" customFormat="1" ht="24.95" customHeight="1" x14ac:dyDescent="0.25">
      <c r="A134" s="21">
        <v>46035</v>
      </c>
      <c r="B134" s="22">
        <v>202601125</v>
      </c>
      <c r="E134" s="22" t="s">
        <v>16</v>
      </c>
      <c r="F134" s="1" t="s">
        <v>5</v>
      </c>
      <c r="G134" s="26"/>
      <c r="H134" s="18" t="s">
        <v>27</v>
      </c>
      <c r="I134" s="18"/>
      <c r="J134" s="30"/>
      <c r="K134" s="22" t="str">
        <f>+CONCATENATE(Tablo1710612131618202224[[#This Row],[DOSYA NO]],"_",Tablo1710612131618202224[[#This Row],[MÜŞTERİ ADI]],$P$10,"_",Tablo1710612131618202224[[#This Row],[İŞİN ADI]],"_",Tablo1710612131618202224[[#This Row],[İŞİN TÜRÜ]])</f>
        <v>202601125___AKUSTİK RAPOR &amp; PROJE</v>
      </c>
    </row>
    <row r="135" spans="1:11" s="22" customFormat="1" ht="24.95" customHeight="1" x14ac:dyDescent="0.25">
      <c r="A135" s="21">
        <v>46036</v>
      </c>
      <c r="B135" s="22">
        <v>202601126</v>
      </c>
      <c r="E135" s="22" t="s">
        <v>17</v>
      </c>
      <c r="F135" s="1" t="s">
        <v>5</v>
      </c>
      <c r="G135" s="26"/>
      <c r="H135" s="18" t="s">
        <v>27</v>
      </c>
      <c r="I135" s="18"/>
      <c r="J135" s="30"/>
      <c r="K135" s="22" t="str">
        <f>+CONCATENATE(Tablo1710612131618202224[[#This Row],[DOSYA NO]],"_",Tablo1710612131618202224[[#This Row],[MÜŞTERİ ADI]],$P$10,"_",Tablo1710612131618202224[[#This Row],[İŞİN ADI]],"_",Tablo1710612131618202224[[#This Row],[İŞİN TÜRÜ]])</f>
        <v>202601126___ÖN HESAP SONUÇ FORMU</v>
      </c>
    </row>
    <row r="136" spans="1:11" s="22" customFormat="1" ht="24.95" customHeight="1" x14ac:dyDescent="0.25">
      <c r="A136" s="21">
        <v>46036</v>
      </c>
      <c r="B136" s="22">
        <v>202601127</v>
      </c>
      <c r="E136" s="22" t="s">
        <v>16</v>
      </c>
      <c r="F136" s="1" t="s">
        <v>5</v>
      </c>
      <c r="G136" s="26"/>
      <c r="H136" s="18" t="s">
        <v>27</v>
      </c>
      <c r="I136" s="18"/>
      <c r="J136" s="30"/>
      <c r="K136" s="22" t="str">
        <f>+CONCATENATE(Tablo1710612131618202224[[#This Row],[DOSYA NO]],"_",Tablo1710612131618202224[[#This Row],[MÜŞTERİ ADI]],$P$10,"_",Tablo1710612131618202224[[#This Row],[İŞİN ADI]],"_",Tablo1710612131618202224[[#This Row],[İŞİN TÜRÜ]])</f>
        <v>202601127___AKUSTİK RAPOR &amp; PROJE</v>
      </c>
    </row>
    <row r="137" spans="1:11" s="22" customFormat="1" ht="24.95" customHeight="1" x14ac:dyDescent="0.25">
      <c r="A137" s="21">
        <v>46036</v>
      </c>
      <c r="B137" s="22">
        <v>202601128</v>
      </c>
      <c r="E137" s="22" t="s">
        <v>17</v>
      </c>
      <c r="F137" s="1" t="s">
        <v>14</v>
      </c>
      <c r="G137" s="26"/>
      <c r="H137" s="18"/>
      <c r="I137" s="18"/>
      <c r="J137" s="30"/>
      <c r="K137" s="22" t="str">
        <f>+CONCATENATE(Tablo1710612131618202224[[#This Row],[DOSYA NO]],"_",Tablo1710612131618202224[[#This Row],[MÜŞTERİ ADI]],$P$10,"_",Tablo1710612131618202224[[#This Row],[İŞİN ADI]],"_",Tablo1710612131618202224[[#This Row],[İŞİN TÜRÜ]])</f>
        <v>202601128___ÖN HESAP SONUÇ FORMU</v>
      </c>
    </row>
    <row r="138" spans="1:11" s="22" customFormat="1" ht="24.95" customHeight="1" x14ac:dyDescent="0.25">
      <c r="A138" s="21">
        <v>46036</v>
      </c>
      <c r="B138" s="22">
        <v>202601129</v>
      </c>
      <c r="E138" s="22" t="s">
        <v>16</v>
      </c>
      <c r="F138" s="1" t="s">
        <v>14</v>
      </c>
      <c r="G138" s="26"/>
      <c r="H138" s="18"/>
      <c r="I138" s="18"/>
      <c r="J138" s="30"/>
      <c r="K138" s="22" t="str">
        <f>+CONCATENATE(Tablo1710612131618202224[[#This Row],[DOSYA NO]],"_",Tablo1710612131618202224[[#This Row],[MÜŞTERİ ADI]],$P$10,"_",Tablo1710612131618202224[[#This Row],[İŞİN ADI]],"_",Tablo1710612131618202224[[#This Row],[İŞİN TÜRÜ]])</f>
        <v>202601129___AKUSTİK RAPOR &amp; PROJE</v>
      </c>
    </row>
    <row r="139" spans="1:11" s="22" customFormat="1" ht="24.95" customHeight="1" x14ac:dyDescent="0.25">
      <c r="A139" s="21">
        <v>46036</v>
      </c>
      <c r="B139" s="22">
        <v>202601130</v>
      </c>
      <c r="E139" s="22" t="s">
        <v>77</v>
      </c>
      <c r="F139" s="1" t="s">
        <v>5</v>
      </c>
      <c r="G139" s="26"/>
      <c r="H139" s="18" t="s">
        <v>27</v>
      </c>
      <c r="I139" s="18" t="s">
        <v>290</v>
      </c>
      <c r="J139" s="30"/>
      <c r="K139" s="22" t="str">
        <f>+CONCATENATE(Tablo1710612131618202224[[#This Row],[DOSYA NO]],"_",Tablo1710612131618202224[[#This Row],[MÜŞTERİ ADI]],$P$10,"_",Tablo1710612131618202224[[#This Row],[İŞİN ADI]],"_",Tablo1710612131618202224[[#This Row],[İŞİN TÜRÜ]])</f>
        <v>202601130___EKB ÇİZİM VE ONAYI</v>
      </c>
    </row>
    <row r="140" spans="1:11" s="22" customFormat="1" ht="24.95" customHeight="1" x14ac:dyDescent="0.25">
      <c r="A140" s="21">
        <v>46036</v>
      </c>
      <c r="B140" s="22">
        <v>202601131</v>
      </c>
      <c r="E140" s="22" t="s">
        <v>17</v>
      </c>
      <c r="F140" s="1" t="s">
        <v>5</v>
      </c>
      <c r="G140" s="26"/>
      <c r="H140" s="18" t="s">
        <v>27</v>
      </c>
      <c r="I140" s="18"/>
      <c r="J140" s="30"/>
      <c r="K140" s="22" t="str">
        <f>+CONCATENATE(Tablo1710612131618202224[[#This Row],[DOSYA NO]],"_",Tablo1710612131618202224[[#This Row],[MÜŞTERİ ADI]],$P$10,"_",Tablo1710612131618202224[[#This Row],[İŞİN ADI]],"_",Tablo1710612131618202224[[#This Row],[İŞİN TÜRÜ]])</f>
        <v>202601131___ÖN HESAP SONUÇ FORMU</v>
      </c>
    </row>
    <row r="141" spans="1:11" s="22" customFormat="1" ht="24.95" customHeight="1" x14ac:dyDescent="0.25">
      <c r="A141" s="21">
        <v>46036</v>
      </c>
      <c r="B141" s="22">
        <v>202601132</v>
      </c>
      <c r="E141" s="22" t="s">
        <v>16</v>
      </c>
      <c r="F141" s="1" t="s">
        <v>5</v>
      </c>
      <c r="G141" s="26"/>
      <c r="H141" s="18" t="s">
        <v>27</v>
      </c>
      <c r="I141" s="18"/>
      <c r="J141" s="30"/>
      <c r="K141" s="22" t="str">
        <f>+CONCATENATE(Tablo1710612131618202224[[#This Row],[DOSYA NO]],"_",Tablo1710612131618202224[[#This Row],[MÜŞTERİ ADI]],$P$10,"_",Tablo1710612131618202224[[#This Row],[İŞİN ADI]],"_",Tablo1710612131618202224[[#This Row],[İŞİN TÜRÜ]])</f>
        <v>202601132___AKUSTİK RAPOR &amp; PROJE</v>
      </c>
    </row>
    <row r="142" spans="1:11" s="22" customFormat="1" ht="24.95" customHeight="1" x14ac:dyDescent="0.25">
      <c r="A142" s="21">
        <v>46036</v>
      </c>
      <c r="B142" s="22">
        <v>202601133</v>
      </c>
      <c r="E142" s="22" t="s">
        <v>17</v>
      </c>
      <c r="F142" s="1" t="s">
        <v>5</v>
      </c>
      <c r="G142" s="26"/>
      <c r="H142" s="18" t="s">
        <v>27</v>
      </c>
      <c r="I142" s="18"/>
      <c r="J142" s="30"/>
      <c r="K142" s="22" t="str">
        <f>+CONCATENATE(Tablo1710612131618202224[[#This Row],[DOSYA NO]],"_",Tablo1710612131618202224[[#This Row],[MÜŞTERİ ADI]],$P$10,"_",Tablo1710612131618202224[[#This Row],[İŞİN ADI]],"_",Tablo1710612131618202224[[#This Row],[İŞİN TÜRÜ]])</f>
        <v>202601133___ÖN HESAP SONUÇ FORMU</v>
      </c>
    </row>
    <row r="143" spans="1:11" s="22" customFormat="1" ht="24.95" customHeight="1" x14ac:dyDescent="0.25">
      <c r="A143" s="21">
        <v>46036</v>
      </c>
      <c r="B143" s="22">
        <v>202601134</v>
      </c>
      <c r="E143" s="22" t="s">
        <v>16</v>
      </c>
      <c r="F143" s="1" t="s">
        <v>5</v>
      </c>
      <c r="G143" s="26"/>
      <c r="H143" s="18" t="s">
        <v>27</v>
      </c>
      <c r="I143" s="18"/>
      <c r="J143" s="30"/>
      <c r="K143" s="22" t="str">
        <f>+CONCATENATE(Tablo1710612131618202224[[#This Row],[DOSYA NO]],"_",Tablo1710612131618202224[[#This Row],[MÜŞTERİ ADI]],$P$10,"_",Tablo1710612131618202224[[#This Row],[İŞİN ADI]],"_",Tablo1710612131618202224[[#This Row],[İŞİN TÜRÜ]])</f>
        <v>202601134___AKUSTİK RAPOR &amp; PROJE</v>
      </c>
    </row>
    <row r="144" spans="1:11" s="22" customFormat="1" ht="24.95" customHeight="1" x14ac:dyDescent="0.25">
      <c r="A144" s="21">
        <v>46036</v>
      </c>
      <c r="B144" s="22">
        <v>202601135</v>
      </c>
      <c r="E144" s="22" t="s">
        <v>17</v>
      </c>
      <c r="F144" s="1" t="s">
        <v>5</v>
      </c>
      <c r="G144" s="26"/>
      <c r="H144" s="18" t="s">
        <v>27</v>
      </c>
      <c r="I144" s="18"/>
      <c r="J144" s="30"/>
      <c r="K144" s="22" t="str">
        <f>+CONCATENATE(Tablo1710612131618202224[[#This Row],[DOSYA NO]],"_",Tablo1710612131618202224[[#This Row],[MÜŞTERİ ADI]],$P$10,"_",Tablo1710612131618202224[[#This Row],[İŞİN ADI]],"_",Tablo1710612131618202224[[#This Row],[İŞİN TÜRÜ]])</f>
        <v>202601135___ÖN HESAP SONUÇ FORMU</v>
      </c>
    </row>
    <row r="145" spans="1:11" s="22" customFormat="1" ht="24.95" customHeight="1" x14ac:dyDescent="0.25">
      <c r="A145" s="21">
        <v>46036</v>
      </c>
      <c r="B145" s="22">
        <v>202601136</v>
      </c>
      <c r="E145" s="22" t="s">
        <v>62</v>
      </c>
      <c r="F145" s="1" t="s">
        <v>5</v>
      </c>
      <c r="G145" s="26"/>
      <c r="H145" s="18" t="s">
        <v>22</v>
      </c>
      <c r="I145" s="18"/>
      <c r="J145" s="30"/>
      <c r="K145" s="22" t="str">
        <f>+CONCATENATE(Tablo1710612131618202224[[#This Row],[DOSYA NO]],"_",Tablo1710612131618202224[[#This Row],[MÜŞTERİ ADI]],$P$10,"_",Tablo1710612131618202224[[#This Row],[İŞİN ADI]],"_",Tablo1710612131618202224[[#This Row],[İŞİN TÜRÜ]])</f>
        <v>202601136___EKB ÇİZİMİ</v>
      </c>
    </row>
    <row r="146" spans="1:11" s="22" customFormat="1" ht="24.95" customHeight="1" x14ac:dyDescent="0.25">
      <c r="A146" s="21">
        <v>46036</v>
      </c>
      <c r="B146" s="22">
        <v>202601137</v>
      </c>
      <c r="E146" s="22" t="s">
        <v>62</v>
      </c>
      <c r="F146" s="1" t="s">
        <v>5</v>
      </c>
      <c r="G146" s="26"/>
      <c r="H146" s="18" t="s">
        <v>22</v>
      </c>
      <c r="I146" s="18"/>
      <c r="J146" s="30"/>
      <c r="K146" s="22" t="str">
        <f>+CONCATENATE(Tablo1710612131618202224[[#This Row],[DOSYA NO]],"_",Tablo1710612131618202224[[#This Row],[MÜŞTERİ ADI]],$P$10,"_",Tablo1710612131618202224[[#This Row],[İŞİN ADI]],"_",Tablo1710612131618202224[[#This Row],[İŞİN TÜRÜ]])</f>
        <v>202601137___EKB ÇİZİMİ</v>
      </c>
    </row>
    <row r="147" spans="1:11" s="22" customFormat="1" ht="24.95" customHeight="1" x14ac:dyDescent="0.25">
      <c r="A147" s="21">
        <v>46036</v>
      </c>
      <c r="B147" s="22">
        <v>202601138</v>
      </c>
      <c r="E147" s="22" t="s">
        <v>62</v>
      </c>
      <c r="F147" s="1" t="s">
        <v>5</v>
      </c>
      <c r="G147" s="26"/>
      <c r="H147" s="18" t="s">
        <v>22</v>
      </c>
      <c r="I147" s="18"/>
      <c r="J147" s="30"/>
      <c r="K147" s="22" t="str">
        <f>+CONCATENATE(Tablo1710612131618202224[[#This Row],[DOSYA NO]],"_",Tablo1710612131618202224[[#This Row],[MÜŞTERİ ADI]],$P$10,"_",Tablo1710612131618202224[[#This Row],[İŞİN ADI]],"_",Tablo1710612131618202224[[#This Row],[İŞİN TÜRÜ]])</f>
        <v>202601138___EKB ÇİZİMİ</v>
      </c>
    </row>
    <row r="148" spans="1:11" s="22" customFormat="1" ht="24.95" customHeight="1" x14ac:dyDescent="0.25">
      <c r="A148" s="21">
        <v>46036</v>
      </c>
      <c r="B148" s="22">
        <v>202601139</v>
      </c>
      <c r="E148" s="22" t="s">
        <v>62</v>
      </c>
      <c r="F148" s="1" t="s">
        <v>5</v>
      </c>
      <c r="G148" s="26"/>
      <c r="H148" s="18" t="s">
        <v>22</v>
      </c>
      <c r="I148" s="18"/>
      <c r="J148" s="30"/>
      <c r="K148" s="22" t="str">
        <f>+CONCATENATE(Tablo1710612131618202224[[#This Row],[DOSYA NO]],"_",Tablo1710612131618202224[[#This Row],[MÜŞTERİ ADI]],$P$10,"_",Tablo1710612131618202224[[#This Row],[İŞİN ADI]],"_",Tablo1710612131618202224[[#This Row],[İŞİN TÜRÜ]])</f>
        <v>202601139___EKB ÇİZİMİ</v>
      </c>
    </row>
    <row r="149" spans="1:11" s="22" customFormat="1" ht="24.95" customHeight="1" x14ac:dyDescent="0.25">
      <c r="A149" s="21">
        <v>46036</v>
      </c>
      <c r="B149" s="22">
        <v>202601140</v>
      </c>
      <c r="E149" s="22" t="s">
        <v>62</v>
      </c>
      <c r="F149" s="1" t="s">
        <v>5</v>
      </c>
      <c r="G149" s="26"/>
      <c r="H149" s="18" t="s">
        <v>22</v>
      </c>
      <c r="I149" s="18"/>
      <c r="J149" s="30"/>
      <c r="K149" s="22" t="str">
        <f>+CONCATENATE(Tablo1710612131618202224[[#This Row],[DOSYA NO]],"_",Tablo1710612131618202224[[#This Row],[MÜŞTERİ ADI]],$P$10,"_",Tablo1710612131618202224[[#This Row],[İŞİN ADI]],"_",Tablo1710612131618202224[[#This Row],[İŞİN TÜRÜ]])</f>
        <v>202601140___EKB ÇİZİMİ</v>
      </c>
    </row>
    <row r="150" spans="1:11" s="22" customFormat="1" ht="24.95" customHeight="1" x14ac:dyDescent="0.25">
      <c r="A150" s="21">
        <v>46036</v>
      </c>
      <c r="B150" s="22">
        <v>202601141</v>
      </c>
      <c r="E150" s="22" t="s">
        <v>62</v>
      </c>
      <c r="F150" s="1" t="s">
        <v>5</v>
      </c>
      <c r="G150" s="26"/>
      <c r="H150" s="18" t="s">
        <v>22</v>
      </c>
      <c r="I150" s="18"/>
      <c r="J150" s="30"/>
      <c r="K150" s="22" t="str">
        <f>+CONCATENATE(Tablo1710612131618202224[[#This Row],[DOSYA NO]],"_",Tablo1710612131618202224[[#This Row],[MÜŞTERİ ADI]],$P$10,"_",Tablo1710612131618202224[[#This Row],[İŞİN ADI]],"_",Tablo1710612131618202224[[#This Row],[İŞİN TÜRÜ]])</f>
        <v>202601141___EKB ÇİZİMİ</v>
      </c>
    </row>
    <row r="151" spans="1:11" s="22" customFormat="1" ht="24.95" customHeight="1" x14ac:dyDescent="0.25">
      <c r="A151" s="21">
        <v>46036</v>
      </c>
      <c r="B151" s="22">
        <v>202601142</v>
      </c>
      <c r="E151" s="22" t="s">
        <v>62</v>
      </c>
      <c r="F151" s="1" t="s">
        <v>5</v>
      </c>
      <c r="G151" s="26"/>
      <c r="H151" s="18" t="s">
        <v>22</v>
      </c>
      <c r="I151" s="18"/>
      <c r="J151" s="30"/>
      <c r="K151" s="22" t="str">
        <f>+CONCATENATE(Tablo1710612131618202224[[#This Row],[DOSYA NO]],"_",Tablo1710612131618202224[[#This Row],[MÜŞTERİ ADI]],$P$10,"_",Tablo1710612131618202224[[#This Row],[İŞİN ADI]],"_",Tablo1710612131618202224[[#This Row],[İŞİN TÜRÜ]])</f>
        <v>202601142___EKB ÇİZİMİ</v>
      </c>
    </row>
    <row r="152" spans="1:11" s="22" customFormat="1" ht="24.95" customHeight="1" x14ac:dyDescent="0.25">
      <c r="A152" s="21">
        <v>46036</v>
      </c>
      <c r="B152" s="22">
        <v>202601143</v>
      </c>
      <c r="E152" s="22" t="s">
        <v>17</v>
      </c>
      <c r="F152" s="1" t="s">
        <v>5</v>
      </c>
      <c r="G152" s="26"/>
      <c r="H152" s="18" t="s">
        <v>27</v>
      </c>
      <c r="I152" s="18"/>
      <c r="J152" s="30"/>
      <c r="K152" s="22" t="str">
        <f>+CONCATENATE(Tablo1710612131618202224[[#This Row],[DOSYA NO]],"_",Tablo1710612131618202224[[#This Row],[MÜŞTERİ ADI]],$P$10,"_",Tablo1710612131618202224[[#This Row],[İŞİN ADI]],"_",Tablo1710612131618202224[[#This Row],[İŞİN TÜRÜ]])</f>
        <v>202601143___ÖN HESAP SONUÇ FORMU</v>
      </c>
    </row>
    <row r="153" spans="1:11" s="22" customFormat="1" ht="24.95" customHeight="1" x14ac:dyDescent="0.25">
      <c r="A153" s="21">
        <v>46036</v>
      </c>
      <c r="B153" s="22">
        <v>202601144</v>
      </c>
      <c r="E153" s="22" t="s">
        <v>77</v>
      </c>
      <c r="F153" s="1" t="s">
        <v>5</v>
      </c>
      <c r="G153" s="26"/>
      <c r="H153" s="18" t="s">
        <v>27</v>
      </c>
      <c r="I153" s="18" t="s">
        <v>291</v>
      </c>
      <c r="J153" s="30"/>
      <c r="K153" s="22" t="str">
        <f>+CONCATENATE(Tablo1710612131618202224[[#This Row],[DOSYA NO]],"_",Tablo1710612131618202224[[#This Row],[MÜŞTERİ ADI]],$P$10,"_",Tablo1710612131618202224[[#This Row],[İŞİN ADI]],"_",Tablo1710612131618202224[[#This Row],[İŞİN TÜRÜ]])</f>
        <v>202601144___EKB ÇİZİM VE ONAYI</v>
      </c>
    </row>
    <row r="154" spans="1:11" s="22" customFormat="1" ht="24.95" customHeight="1" x14ac:dyDescent="0.25">
      <c r="A154" s="21">
        <v>46036</v>
      </c>
      <c r="B154" s="22">
        <v>202601145</v>
      </c>
      <c r="E154" s="22" t="s">
        <v>79</v>
      </c>
      <c r="F154" s="1" t="s">
        <v>5</v>
      </c>
      <c r="G154" s="26"/>
      <c r="H154" s="18" t="s">
        <v>22</v>
      </c>
      <c r="I154" s="18"/>
      <c r="J154" s="30"/>
      <c r="K154" s="22" t="str">
        <f>+CONCATENATE(Tablo1710612131618202224[[#This Row],[DOSYA NO]],"_",Tablo1710612131618202224[[#This Row],[MÜŞTERİ ADI]],$P$10,"_",Tablo1710612131618202224[[#This Row],[İŞİN ADI]],"_",Tablo1710612131618202224[[#This Row],[İŞİN TÜRÜ]])</f>
        <v>202601145___EKB ONAYI</v>
      </c>
    </row>
    <row r="155" spans="1:11" s="22" customFormat="1" ht="24.95" customHeight="1" x14ac:dyDescent="0.25">
      <c r="A155" s="21">
        <v>46036</v>
      </c>
      <c r="B155" s="22">
        <v>202601146</v>
      </c>
      <c r="E155" s="22" t="s">
        <v>92</v>
      </c>
      <c r="F155" s="1" t="s">
        <v>5</v>
      </c>
      <c r="G155" s="26"/>
      <c r="H155" s="18" t="s">
        <v>22</v>
      </c>
      <c r="I155" s="18"/>
      <c r="J155" s="30"/>
      <c r="K155" s="22" t="str">
        <f>+CONCATENATE(Tablo1710612131618202224[[#This Row],[DOSYA NO]],"_",Tablo1710612131618202224[[#This Row],[MÜŞTERİ ADI]],$P$10,"_",Tablo1710612131618202224[[#This Row],[İŞİN ADI]],"_",Tablo1710612131618202224[[#This Row],[İŞİN TÜRÜ]])</f>
        <v>202601146___3BSYM</v>
      </c>
    </row>
    <row r="156" spans="1:11" s="22" customFormat="1" ht="24.95" customHeight="1" x14ac:dyDescent="0.25">
      <c r="A156" s="21">
        <v>46036</v>
      </c>
      <c r="B156" s="22">
        <v>202601147</v>
      </c>
      <c r="E156" s="22" t="s">
        <v>16</v>
      </c>
      <c r="F156" s="1" t="s">
        <v>5</v>
      </c>
      <c r="G156" s="26"/>
      <c r="H156" s="18" t="s">
        <v>27</v>
      </c>
      <c r="I156" s="18"/>
      <c r="J156" s="30"/>
      <c r="K156" s="22" t="str">
        <f>+CONCATENATE(Tablo1710612131618202224[[#This Row],[DOSYA NO]],"_",Tablo1710612131618202224[[#This Row],[MÜŞTERİ ADI]],$P$10,"_",Tablo1710612131618202224[[#This Row],[İŞİN ADI]],"_",Tablo1710612131618202224[[#This Row],[İŞİN TÜRÜ]])</f>
        <v>202601147___AKUSTİK RAPOR &amp; PROJE</v>
      </c>
    </row>
    <row r="157" spans="1:11" s="22" customFormat="1" ht="24.95" customHeight="1" x14ac:dyDescent="0.25">
      <c r="A157" s="21">
        <v>46036</v>
      </c>
      <c r="B157" s="22">
        <v>202601148</v>
      </c>
      <c r="E157" s="22" t="s">
        <v>62</v>
      </c>
      <c r="F157" s="1" t="s">
        <v>5</v>
      </c>
      <c r="G157" s="26"/>
      <c r="H157" s="18" t="s">
        <v>27</v>
      </c>
      <c r="I157" s="18"/>
      <c r="J157" s="30"/>
      <c r="K157" s="22" t="str">
        <f>+CONCATENATE(Tablo1710612131618202224[[#This Row],[DOSYA NO]],"_",Tablo1710612131618202224[[#This Row],[MÜŞTERİ ADI]],$P$10,"_",Tablo1710612131618202224[[#This Row],[İŞİN ADI]],"_",Tablo1710612131618202224[[#This Row],[İŞİN TÜRÜ]])</f>
        <v>202601148___EKB ÇİZİMİ</v>
      </c>
    </row>
    <row r="158" spans="1:11" s="22" customFormat="1" ht="24.95" customHeight="1" x14ac:dyDescent="0.25">
      <c r="A158" s="21">
        <v>46036</v>
      </c>
      <c r="B158" s="22">
        <v>202601149</v>
      </c>
      <c r="E158" s="22" t="s">
        <v>62</v>
      </c>
      <c r="F158" s="1" t="s">
        <v>5</v>
      </c>
      <c r="G158" s="26"/>
      <c r="H158" s="18" t="s">
        <v>27</v>
      </c>
      <c r="I158" s="18"/>
      <c r="J158" s="30"/>
      <c r="K158" s="22" t="str">
        <f>+CONCATENATE(Tablo1710612131618202224[[#This Row],[DOSYA NO]],"_",Tablo1710612131618202224[[#This Row],[MÜŞTERİ ADI]],$P$10,"_",Tablo1710612131618202224[[#This Row],[İŞİN ADI]],"_",Tablo1710612131618202224[[#This Row],[İŞİN TÜRÜ]])</f>
        <v>202601149___EKB ÇİZİMİ</v>
      </c>
    </row>
    <row r="159" spans="1:11" s="22" customFormat="1" ht="24.95" customHeight="1" x14ac:dyDescent="0.25">
      <c r="A159" s="21">
        <v>46036</v>
      </c>
      <c r="B159" s="22">
        <v>202601150</v>
      </c>
      <c r="E159" s="22" t="s">
        <v>62</v>
      </c>
      <c r="F159" s="1" t="s">
        <v>5</v>
      </c>
      <c r="G159" s="26"/>
      <c r="H159" s="18" t="s">
        <v>27</v>
      </c>
      <c r="I159" s="18"/>
      <c r="J159" s="30"/>
      <c r="K159" s="22" t="str">
        <f>+CONCATENATE(Tablo1710612131618202224[[#This Row],[DOSYA NO]],"_",Tablo1710612131618202224[[#This Row],[MÜŞTERİ ADI]],$P$10,"_",Tablo1710612131618202224[[#This Row],[İŞİN ADI]],"_",Tablo1710612131618202224[[#This Row],[İŞİN TÜRÜ]])</f>
        <v>202601150___EKB ÇİZİMİ</v>
      </c>
    </row>
    <row r="160" spans="1:11" s="22" customFormat="1" ht="24.95" customHeight="1" x14ac:dyDescent="0.25">
      <c r="A160" s="21">
        <v>46036</v>
      </c>
      <c r="B160" s="22">
        <v>202601151</v>
      </c>
      <c r="E160" s="22" t="s">
        <v>62</v>
      </c>
      <c r="F160" s="1" t="s">
        <v>5</v>
      </c>
      <c r="G160" s="26"/>
      <c r="H160" s="18" t="s">
        <v>27</v>
      </c>
      <c r="I160" s="18"/>
      <c r="J160" s="30"/>
      <c r="K160" s="22" t="str">
        <f>+CONCATENATE(Tablo1710612131618202224[[#This Row],[DOSYA NO]],"_",Tablo1710612131618202224[[#This Row],[MÜŞTERİ ADI]],$P$10,"_",Tablo1710612131618202224[[#This Row],[İŞİN ADI]],"_",Tablo1710612131618202224[[#This Row],[İŞİN TÜRÜ]])</f>
        <v>202601151___EKB ÇİZİMİ</v>
      </c>
    </row>
    <row r="161" spans="1:11" s="22" customFormat="1" ht="24.95" customHeight="1" x14ac:dyDescent="0.25">
      <c r="A161" s="21">
        <v>46036</v>
      </c>
      <c r="B161" s="22">
        <v>202601152</v>
      </c>
      <c r="E161" s="22" t="s">
        <v>62</v>
      </c>
      <c r="F161" s="1" t="s">
        <v>5</v>
      </c>
      <c r="G161" s="26"/>
      <c r="H161" s="18" t="s">
        <v>27</v>
      </c>
      <c r="I161" s="18"/>
      <c r="J161" s="30"/>
      <c r="K161" s="22" t="str">
        <f>+CONCATENATE(Tablo1710612131618202224[[#This Row],[DOSYA NO]],"_",Tablo1710612131618202224[[#This Row],[MÜŞTERİ ADI]],$P$10,"_",Tablo1710612131618202224[[#This Row],[İŞİN ADI]],"_",Tablo1710612131618202224[[#This Row],[İŞİN TÜRÜ]])</f>
        <v>202601152___EKB ÇİZİMİ</v>
      </c>
    </row>
    <row r="162" spans="1:11" s="22" customFormat="1" ht="24.95" customHeight="1" x14ac:dyDescent="0.25">
      <c r="A162" s="21">
        <v>46036</v>
      </c>
      <c r="B162" s="22">
        <v>202601153</v>
      </c>
      <c r="E162" s="22" t="s">
        <v>62</v>
      </c>
      <c r="F162" s="1" t="s">
        <v>5</v>
      </c>
      <c r="G162" s="26"/>
      <c r="H162" s="18" t="s">
        <v>27</v>
      </c>
      <c r="I162" s="18"/>
      <c r="J162" s="30"/>
      <c r="K162" s="22" t="str">
        <f>+CONCATENATE(Tablo1710612131618202224[[#This Row],[DOSYA NO]],"_",Tablo1710612131618202224[[#This Row],[MÜŞTERİ ADI]],$P$10,"_",Tablo1710612131618202224[[#This Row],[İŞİN ADI]],"_",Tablo1710612131618202224[[#This Row],[İŞİN TÜRÜ]])</f>
        <v>202601153___EKB ÇİZİMİ</v>
      </c>
    </row>
    <row r="163" spans="1:11" s="22" customFormat="1" ht="24.95" customHeight="1" x14ac:dyDescent="0.25">
      <c r="A163" s="21">
        <v>46037</v>
      </c>
      <c r="B163" s="22">
        <v>202601154</v>
      </c>
      <c r="E163" s="22" t="s">
        <v>17</v>
      </c>
      <c r="F163" s="1" t="s">
        <v>5</v>
      </c>
      <c r="G163" s="26"/>
      <c r="H163" s="18" t="s">
        <v>27</v>
      </c>
      <c r="I163" s="18"/>
      <c r="J163" s="30"/>
      <c r="K163" s="22" t="str">
        <f>+CONCATENATE(Tablo1710612131618202224[[#This Row],[DOSYA NO]],"_",Tablo1710612131618202224[[#This Row],[MÜŞTERİ ADI]],$P$10,"_",Tablo1710612131618202224[[#This Row],[İŞİN ADI]],"_",Tablo1710612131618202224[[#This Row],[İŞİN TÜRÜ]])</f>
        <v>202601154___ÖN HESAP SONUÇ FORMU</v>
      </c>
    </row>
    <row r="164" spans="1:11" s="22" customFormat="1" ht="24.95" customHeight="1" x14ac:dyDescent="0.25">
      <c r="A164" s="21">
        <v>46037</v>
      </c>
      <c r="B164" s="22">
        <v>202601155</v>
      </c>
      <c r="E164" s="22" t="s">
        <v>17</v>
      </c>
      <c r="F164" s="1" t="s">
        <v>5</v>
      </c>
      <c r="G164" s="26"/>
      <c r="H164" s="18" t="s">
        <v>27</v>
      </c>
      <c r="I164" s="18"/>
      <c r="J164" s="30"/>
      <c r="K164" s="22" t="str">
        <f>+CONCATENATE(Tablo1710612131618202224[[#This Row],[DOSYA NO]],"_",Tablo1710612131618202224[[#This Row],[MÜŞTERİ ADI]],$P$10,"_",Tablo1710612131618202224[[#This Row],[İŞİN ADI]],"_",Tablo1710612131618202224[[#This Row],[İŞİN TÜRÜ]])</f>
        <v>202601155___ÖN HESAP SONUÇ FORMU</v>
      </c>
    </row>
    <row r="165" spans="1:11" s="22" customFormat="1" ht="24.95" customHeight="1" x14ac:dyDescent="0.25">
      <c r="A165" s="21">
        <v>46037</v>
      </c>
      <c r="B165" s="22">
        <v>202601156</v>
      </c>
      <c r="E165" s="22" t="s">
        <v>62</v>
      </c>
      <c r="F165" s="1" t="s">
        <v>5</v>
      </c>
      <c r="G165" s="26"/>
      <c r="H165" s="18" t="s">
        <v>27</v>
      </c>
      <c r="I165" s="18"/>
      <c r="J165" s="30"/>
      <c r="K165" s="22" t="str">
        <f>+CONCATENATE(Tablo1710612131618202224[[#This Row],[DOSYA NO]],"_",Tablo1710612131618202224[[#This Row],[MÜŞTERİ ADI]],$P$10,"_",Tablo1710612131618202224[[#This Row],[İŞİN ADI]],"_",Tablo1710612131618202224[[#This Row],[İŞİN TÜRÜ]])</f>
        <v>202601156___EKB ÇİZİMİ</v>
      </c>
    </row>
    <row r="166" spans="1:11" s="22" customFormat="1" ht="24.95" customHeight="1" x14ac:dyDescent="0.25">
      <c r="A166" s="21">
        <v>46037</v>
      </c>
      <c r="B166" s="22">
        <v>202601157</v>
      </c>
      <c r="E166" s="22" t="s">
        <v>62</v>
      </c>
      <c r="F166" s="1" t="s">
        <v>5</v>
      </c>
      <c r="G166" s="26"/>
      <c r="H166" s="18" t="s">
        <v>27</v>
      </c>
      <c r="I166" s="18"/>
      <c r="J166" s="30"/>
      <c r="K166" s="22" t="str">
        <f>+CONCATENATE(Tablo1710612131618202224[[#This Row],[DOSYA NO]],"_",Tablo1710612131618202224[[#This Row],[MÜŞTERİ ADI]],$P$10,"_",Tablo1710612131618202224[[#This Row],[İŞİN ADI]],"_",Tablo1710612131618202224[[#This Row],[İŞİN TÜRÜ]])</f>
        <v>202601157___EKB ÇİZİMİ</v>
      </c>
    </row>
    <row r="167" spans="1:11" s="22" customFormat="1" ht="24.95" customHeight="1" x14ac:dyDescent="0.25">
      <c r="A167" s="21">
        <v>46037</v>
      </c>
      <c r="B167" s="22">
        <v>202601158</v>
      </c>
      <c r="E167" s="22" t="s">
        <v>62</v>
      </c>
      <c r="F167" s="1" t="s">
        <v>5</v>
      </c>
      <c r="G167" s="26"/>
      <c r="H167" s="18" t="s">
        <v>27</v>
      </c>
      <c r="I167" s="18"/>
      <c r="J167" s="30"/>
      <c r="K167" s="22" t="str">
        <f>+CONCATENATE(Tablo1710612131618202224[[#This Row],[DOSYA NO]],"_",Tablo1710612131618202224[[#This Row],[MÜŞTERİ ADI]],$P$10,"_",Tablo1710612131618202224[[#This Row],[İŞİN ADI]],"_",Tablo1710612131618202224[[#This Row],[İŞİN TÜRÜ]])</f>
        <v>202601158___EKB ÇİZİMİ</v>
      </c>
    </row>
    <row r="168" spans="1:11" s="22" customFormat="1" ht="24.95" customHeight="1" x14ac:dyDescent="0.25">
      <c r="A168" s="21">
        <v>46037</v>
      </c>
      <c r="B168" s="22">
        <v>202601159</v>
      </c>
      <c r="E168" s="22" t="s">
        <v>77</v>
      </c>
      <c r="F168" s="1" t="s">
        <v>5</v>
      </c>
      <c r="G168" s="26"/>
      <c r="H168" s="18" t="s">
        <v>22</v>
      </c>
      <c r="I168" s="18"/>
      <c r="J168" s="30"/>
      <c r="K168" s="22" t="str">
        <f>+CONCATENATE(Tablo1710612131618202224[[#This Row],[DOSYA NO]],"_",Tablo1710612131618202224[[#This Row],[MÜŞTERİ ADI]],$P$10,"_",Tablo1710612131618202224[[#This Row],[İŞİN ADI]],"_",Tablo1710612131618202224[[#This Row],[İŞİN TÜRÜ]])</f>
        <v>202601159___EKB ÇİZİM VE ONAYI</v>
      </c>
    </row>
    <row r="169" spans="1:11" s="22" customFormat="1" ht="24.95" customHeight="1" x14ac:dyDescent="0.25">
      <c r="A169" s="21">
        <v>46037</v>
      </c>
      <c r="B169" s="22">
        <v>202601160</v>
      </c>
      <c r="E169" s="22" t="s">
        <v>77</v>
      </c>
      <c r="F169" s="1" t="s">
        <v>5</v>
      </c>
      <c r="G169" s="26"/>
      <c r="H169" s="18" t="s">
        <v>22</v>
      </c>
      <c r="I169" s="18" t="s">
        <v>278</v>
      </c>
      <c r="J169" s="30" t="s">
        <v>321</v>
      </c>
      <c r="K169" s="22" t="str">
        <f>+CONCATENATE(Tablo1710612131618202224[[#This Row],[DOSYA NO]],"_",Tablo1710612131618202224[[#This Row],[MÜŞTERİ ADI]],$P$10,"_",Tablo1710612131618202224[[#This Row],[İŞİN ADI]],"_",Tablo1710612131618202224[[#This Row],[İŞİN TÜRÜ]])</f>
        <v>202601160___EKB ÇİZİM VE ONAYI</v>
      </c>
    </row>
    <row r="170" spans="1:11" s="22" customFormat="1" ht="24.95" customHeight="1" x14ac:dyDescent="0.25">
      <c r="A170" s="21">
        <v>46037</v>
      </c>
      <c r="B170" s="22">
        <v>202601161</v>
      </c>
      <c r="E170" s="22" t="s">
        <v>77</v>
      </c>
      <c r="F170" s="1" t="s">
        <v>5</v>
      </c>
      <c r="G170" s="26"/>
      <c r="H170" s="18" t="s">
        <v>27</v>
      </c>
      <c r="I170" s="18"/>
      <c r="J170" s="30" t="s">
        <v>299</v>
      </c>
      <c r="K170" s="22" t="str">
        <f>+CONCATENATE(Tablo1710612131618202224[[#This Row],[DOSYA NO]],"_",Tablo1710612131618202224[[#This Row],[MÜŞTERİ ADI]],$P$10,"_",Tablo1710612131618202224[[#This Row],[İŞİN ADI]],"_",Tablo1710612131618202224[[#This Row],[İŞİN TÜRÜ]])</f>
        <v>202601161___EKB ÇİZİM VE ONAYI</v>
      </c>
    </row>
    <row r="171" spans="1:11" s="22" customFormat="1" ht="24.95" customHeight="1" x14ac:dyDescent="0.25">
      <c r="A171" s="21">
        <v>46037</v>
      </c>
      <c r="B171" s="22">
        <v>202601162</v>
      </c>
      <c r="E171" s="22" t="s">
        <v>77</v>
      </c>
      <c r="F171" s="1" t="s">
        <v>5</v>
      </c>
      <c r="G171" s="26"/>
      <c r="H171" s="18" t="s">
        <v>27</v>
      </c>
      <c r="I171" s="18"/>
      <c r="J171" s="30" t="s">
        <v>299</v>
      </c>
      <c r="K171" s="22" t="str">
        <f>+CONCATENATE(Tablo1710612131618202224[[#This Row],[DOSYA NO]],"_",Tablo1710612131618202224[[#This Row],[MÜŞTERİ ADI]],$P$10,"_",Tablo1710612131618202224[[#This Row],[İŞİN ADI]],"_",Tablo1710612131618202224[[#This Row],[İŞİN TÜRÜ]])</f>
        <v>202601162___EKB ÇİZİM VE ONAYI</v>
      </c>
    </row>
    <row r="172" spans="1:11" s="22" customFormat="1" ht="24.95" customHeight="1" x14ac:dyDescent="0.25">
      <c r="A172" s="21">
        <v>46037</v>
      </c>
      <c r="B172" s="22">
        <v>202601163</v>
      </c>
      <c r="E172" s="22" t="s">
        <v>17</v>
      </c>
      <c r="F172" s="1" t="s">
        <v>5</v>
      </c>
      <c r="G172" s="26"/>
      <c r="H172" s="18" t="s">
        <v>27</v>
      </c>
      <c r="I172" s="18"/>
      <c r="J172" s="30"/>
      <c r="K172" s="22" t="str">
        <f>+CONCATENATE(Tablo1710612131618202224[[#This Row],[DOSYA NO]],"_",Tablo1710612131618202224[[#This Row],[MÜŞTERİ ADI]],$P$10,"_",Tablo1710612131618202224[[#This Row],[İŞİN ADI]],"_",Tablo1710612131618202224[[#This Row],[İŞİN TÜRÜ]])</f>
        <v>202601163___ÖN HESAP SONUÇ FORMU</v>
      </c>
    </row>
    <row r="173" spans="1:11" s="22" customFormat="1" ht="24.95" customHeight="1" x14ac:dyDescent="0.25">
      <c r="A173" s="21">
        <v>46037</v>
      </c>
      <c r="B173" s="22">
        <v>202601164</v>
      </c>
      <c r="E173" s="22" t="s">
        <v>16</v>
      </c>
      <c r="F173" s="1" t="s">
        <v>5</v>
      </c>
      <c r="G173" s="26"/>
      <c r="H173" s="18" t="s">
        <v>27</v>
      </c>
      <c r="I173" s="18"/>
      <c r="J173" s="30"/>
      <c r="K173" s="22" t="str">
        <f>+CONCATENATE(Tablo1710612131618202224[[#This Row],[DOSYA NO]],"_",Tablo1710612131618202224[[#This Row],[MÜŞTERİ ADI]],$P$10,"_",Tablo1710612131618202224[[#This Row],[İŞİN ADI]],"_",Tablo1710612131618202224[[#This Row],[İŞİN TÜRÜ]])</f>
        <v>202601164___AKUSTİK RAPOR &amp; PROJE</v>
      </c>
    </row>
    <row r="174" spans="1:11" s="22" customFormat="1" ht="24.95" customHeight="1" x14ac:dyDescent="0.25">
      <c r="A174" s="21">
        <v>46037</v>
      </c>
      <c r="B174" s="22">
        <v>202601165</v>
      </c>
      <c r="E174" s="22" t="s">
        <v>77</v>
      </c>
      <c r="F174" s="1" t="s">
        <v>14</v>
      </c>
      <c r="G174" s="26"/>
      <c r="H174" s="18"/>
      <c r="I174" s="18"/>
      <c r="J174" s="30"/>
      <c r="K174" s="22" t="str">
        <f>+CONCATENATE(Tablo1710612131618202224[[#This Row],[DOSYA NO]],"_",Tablo1710612131618202224[[#This Row],[MÜŞTERİ ADI]],$P$10,"_",Tablo1710612131618202224[[#This Row],[İŞİN ADI]],"_",Tablo1710612131618202224[[#This Row],[İŞİN TÜRÜ]])</f>
        <v>202601165___EKB ÇİZİM VE ONAYI</v>
      </c>
    </row>
    <row r="175" spans="1:11" s="22" customFormat="1" ht="24.95" customHeight="1" x14ac:dyDescent="0.25">
      <c r="A175" s="21">
        <v>46037</v>
      </c>
      <c r="B175" s="22">
        <v>202601166</v>
      </c>
      <c r="E175" s="22" t="s">
        <v>17</v>
      </c>
      <c r="F175" s="1" t="s">
        <v>5</v>
      </c>
      <c r="G175" s="26"/>
      <c r="H175" s="18" t="s">
        <v>27</v>
      </c>
      <c r="I175" s="18"/>
      <c r="J175" s="30"/>
      <c r="K175" s="22" t="str">
        <f>+CONCATENATE(Tablo1710612131618202224[[#This Row],[DOSYA NO]],"_",Tablo1710612131618202224[[#This Row],[MÜŞTERİ ADI]],$P$10,"_",Tablo1710612131618202224[[#This Row],[İŞİN ADI]],"_",Tablo1710612131618202224[[#This Row],[İŞİN TÜRÜ]])</f>
        <v>202601166___ÖN HESAP SONUÇ FORMU</v>
      </c>
    </row>
    <row r="176" spans="1:11" s="22" customFormat="1" ht="24.95" customHeight="1" x14ac:dyDescent="0.25">
      <c r="A176" s="21">
        <v>46037</v>
      </c>
      <c r="B176" s="22">
        <v>202601167</v>
      </c>
      <c r="E176" s="22" t="s">
        <v>16</v>
      </c>
      <c r="F176" s="1" t="s">
        <v>5</v>
      </c>
      <c r="G176" s="26"/>
      <c r="H176" s="18" t="s">
        <v>27</v>
      </c>
      <c r="I176" s="18"/>
      <c r="J176" s="30"/>
      <c r="K176" s="22" t="str">
        <f>+CONCATENATE(Tablo1710612131618202224[[#This Row],[DOSYA NO]],"_",Tablo1710612131618202224[[#This Row],[MÜŞTERİ ADI]],$P$10,"_",Tablo1710612131618202224[[#This Row],[İŞİN ADI]],"_",Tablo1710612131618202224[[#This Row],[İŞİN TÜRÜ]])</f>
        <v>202601167___AKUSTİK RAPOR &amp; PROJE</v>
      </c>
    </row>
    <row r="177" spans="1:11" s="22" customFormat="1" ht="24.95" customHeight="1" x14ac:dyDescent="0.25">
      <c r="A177" s="21">
        <v>46037</v>
      </c>
      <c r="B177" s="22">
        <v>202601168</v>
      </c>
      <c r="E177" s="22" t="s">
        <v>17</v>
      </c>
      <c r="F177" s="1" t="s">
        <v>5</v>
      </c>
      <c r="G177" s="26"/>
      <c r="H177" s="18" t="s">
        <v>27</v>
      </c>
      <c r="I177" s="18"/>
      <c r="J177" s="30"/>
      <c r="K177" s="22" t="str">
        <f>+CONCATENATE(Tablo1710612131618202224[[#This Row],[DOSYA NO]],"_",Tablo1710612131618202224[[#This Row],[MÜŞTERİ ADI]],$P$10,"_",Tablo1710612131618202224[[#This Row],[İŞİN ADI]],"_",Tablo1710612131618202224[[#This Row],[İŞİN TÜRÜ]])</f>
        <v>202601168___ÖN HESAP SONUÇ FORMU</v>
      </c>
    </row>
    <row r="178" spans="1:11" s="22" customFormat="1" ht="24.95" customHeight="1" x14ac:dyDescent="0.25">
      <c r="A178" s="21">
        <v>46037</v>
      </c>
      <c r="B178" s="22">
        <v>202601169</v>
      </c>
      <c r="E178" s="22" t="s">
        <v>16</v>
      </c>
      <c r="F178" s="1" t="s">
        <v>5</v>
      </c>
      <c r="G178" s="26"/>
      <c r="H178" s="18" t="s">
        <v>27</v>
      </c>
      <c r="I178" s="18"/>
      <c r="J178" s="30"/>
      <c r="K178" s="22" t="str">
        <f>+CONCATENATE(Tablo1710612131618202224[[#This Row],[DOSYA NO]],"_",Tablo1710612131618202224[[#This Row],[MÜŞTERİ ADI]],$P$10,"_",Tablo1710612131618202224[[#This Row],[İŞİN ADI]],"_",Tablo1710612131618202224[[#This Row],[İŞİN TÜRÜ]])</f>
        <v>202601169___AKUSTİK RAPOR &amp; PROJE</v>
      </c>
    </row>
    <row r="179" spans="1:11" s="22" customFormat="1" ht="24.95" customHeight="1" x14ac:dyDescent="0.25">
      <c r="A179" s="21">
        <v>46037</v>
      </c>
      <c r="B179" s="22">
        <v>202601170</v>
      </c>
      <c r="E179" s="22" t="s">
        <v>17</v>
      </c>
      <c r="F179" s="1" t="s">
        <v>5</v>
      </c>
      <c r="G179" s="26"/>
      <c r="H179" s="18" t="s">
        <v>27</v>
      </c>
      <c r="I179" s="18"/>
      <c r="J179" s="30"/>
      <c r="K179" s="22" t="str">
        <f>+CONCATENATE(Tablo1710612131618202224[[#This Row],[DOSYA NO]],"_",Tablo1710612131618202224[[#This Row],[MÜŞTERİ ADI]],$P$10,"_",Tablo1710612131618202224[[#This Row],[İŞİN ADI]],"_",Tablo1710612131618202224[[#This Row],[İŞİN TÜRÜ]])</f>
        <v>202601170___ÖN HESAP SONUÇ FORMU</v>
      </c>
    </row>
    <row r="180" spans="1:11" s="22" customFormat="1" ht="24.95" customHeight="1" x14ac:dyDescent="0.25">
      <c r="A180" s="21">
        <v>46037</v>
      </c>
      <c r="B180" s="22">
        <v>202601171</v>
      </c>
      <c r="E180" s="22" t="s">
        <v>16</v>
      </c>
      <c r="F180" s="1" t="s">
        <v>5</v>
      </c>
      <c r="G180" s="26"/>
      <c r="H180" s="18" t="s">
        <v>27</v>
      </c>
      <c r="I180" s="18"/>
      <c r="J180" s="30"/>
      <c r="K180" s="22" t="str">
        <f>+CONCATENATE(Tablo1710612131618202224[[#This Row],[DOSYA NO]],"_",Tablo1710612131618202224[[#This Row],[MÜŞTERİ ADI]],$P$10,"_",Tablo1710612131618202224[[#This Row],[İŞİN ADI]],"_",Tablo1710612131618202224[[#This Row],[İŞİN TÜRÜ]])</f>
        <v>202601171___AKUSTİK RAPOR &amp; PROJE</v>
      </c>
    </row>
    <row r="181" spans="1:11" s="22" customFormat="1" ht="24.95" customHeight="1" x14ac:dyDescent="0.25">
      <c r="A181" s="21">
        <v>46037</v>
      </c>
      <c r="B181" s="22">
        <v>202601172</v>
      </c>
      <c r="E181" s="22" t="s">
        <v>62</v>
      </c>
      <c r="F181" s="1" t="s">
        <v>5</v>
      </c>
      <c r="G181" s="26"/>
      <c r="H181" s="18" t="s">
        <v>27</v>
      </c>
      <c r="I181" s="18"/>
      <c r="J181" s="30"/>
      <c r="K181" s="22" t="str">
        <f>+CONCATENATE(Tablo1710612131618202224[[#This Row],[DOSYA NO]],"_",Tablo1710612131618202224[[#This Row],[MÜŞTERİ ADI]],$P$10,"_",Tablo1710612131618202224[[#This Row],[İŞİN ADI]],"_",Tablo1710612131618202224[[#This Row],[İŞİN TÜRÜ]])</f>
        <v>202601172___EKB ÇİZİMİ</v>
      </c>
    </row>
    <row r="182" spans="1:11" s="22" customFormat="1" ht="24.95" customHeight="1" x14ac:dyDescent="0.25">
      <c r="A182" s="21">
        <v>46038</v>
      </c>
      <c r="B182" s="22">
        <v>202601173</v>
      </c>
      <c r="E182" s="22" t="s">
        <v>62</v>
      </c>
      <c r="F182" s="1" t="s">
        <v>5</v>
      </c>
      <c r="G182" s="26"/>
      <c r="H182" s="18" t="s">
        <v>27</v>
      </c>
      <c r="I182" s="18"/>
      <c r="J182" s="30"/>
      <c r="K182" s="22" t="str">
        <f>+CONCATENATE(Tablo1710612131618202224[[#This Row],[DOSYA NO]],"_",Tablo1710612131618202224[[#This Row],[MÜŞTERİ ADI]],$P$10,"_",Tablo1710612131618202224[[#This Row],[İŞİN ADI]],"_",Tablo1710612131618202224[[#This Row],[İŞİN TÜRÜ]])</f>
        <v>202601173___EKB ÇİZİMİ</v>
      </c>
    </row>
    <row r="183" spans="1:11" s="22" customFormat="1" ht="24.95" customHeight="1" x14ac:dyDescent="0.25">
      <c r="A183" s="21">
        <v>46038</v>
      </c>
      <c r="B183" s="22">
        <v>202601174</v>
      </c>
      <c r="E183" s="22" t="s">
        <v>17</v>
      </c>
      <c r="F183" s="1" t="s">
        <v>5</v>
      </c>
      <c r="G183" s="26"/>
      <c r="H183" s="18" t="s">
        <v>27</v>
      </c>
      <c r="I183" s="18"/>
      <c r="J183" s="30"/>
      <c r="K183" s="22" t="str">
        <f>+CONCATENATE(Tablo1710612131618202224[[#This Row],[DOSYA NO]],"_",Tablo1710612131618202224[[#This Row],[MÜŞTERİ ADI]],$P$10,"_",Tablo1710612131618202224[[#This Row],[İŞİN ADI]],"_",Tablo1710612131618202224[[#This Row],[İŞİN TÜRÜ]])</f>
        <v>202601174___ÖN HESAP SONUÇ FORMU</v>
      </c>
    </row>
    <row r="184" spans="1:11" s="22" customFormat="1" ht="24.95" customHeight="1" x14ac:dyDescent="0.25">
      <c r="A184" s="21">
        <v>46038</v>
      </c>
      <c r="B184" s="22">
        <v>202601175</v>
      </c>
      <c r="E184" s="22" t="s">
        <v>16</v>
      </c>
      <c r="F184" s="1" t="s">
        <v>5</v>
      </c>
      <c r="G184" s="26"/>
      <c r="H184" s="18" t="s">
        <v>27</v>
      </c>
      <c r="I184" s="18"/>
      <c r="J184" s="30"/>
      <c r="K184" s="22" t="str">
        <f>+CONCATENATE(Tablo1710612131618202224[[#This Row],[DOSYA NO]],"_",Tablo1710612131618202224[[#This Row],[MÜŞTERİ ADI]],$P$10,"_",Tablo1710612131618202224[[#This Row],[İŞİN ADI]],"_",Tablo1710612131618202224[[#This Row],[İŞİN TÜRÜ]])</f>
        <v>202601175___AKUSTİK RAPOR &amp; PROJE</v>
      </c>
    </row>
    <row r="185" spans="1:11" s="22" customFormat="1" ht="24.95" customHeight="1" x14ac:dyDescent="0.25">
      <c r="A185" s="21">
        <v>46038</v>
      </c>
      <c r="B185" s="22">
        <v>202601176</v>
      </c>
      <c r="E185" s="22" t="s">
        <v>62</v>
      </c>
      <c r="F185" s="1" t="s">
        <v>5</v>
      </c>
      <c r="G185" s="26"/>
      <c r="H185" s="18" t="s">
        <v>27</v>
      </c>
      <c r="I185" s="18"/>
      <c r="J185" s="30"/>
      <c r="K185" s="22" t="str">
        <f>+CONCATENATE(Tablo1710612131618202224[[#This Row],[DOSYA NO]],"_",Tablo1710612131618202224[[#This Row],[MÜŞTERİ ADI]],$P$10,"_",Tablo1710612131618202224[[#This Row],[İŞİN ADI]],"_",Tablo1710612131618202224[[#This Row],[İŞİN TÜRÜ]])</f>
        <v>202601176___EKB ÇİZİMİ</v>
      </c>
    </row>
    <row r="186" spans="1:11" s="22" customFormat="1" ht="24.95" customHeight="1" x14ac:dyDescent="0.25">
      <c r="A186" s="21">
        <v>46039</v>
      </c>
      <c r="B186" s="22">
        <v>202601177</v>
      </c>
      <c r="E186" s="22" t="s">
        <v>62</v>
      </c>
      <c r="F186" s="1" t="s">
        <v>5</v>
      </c>
      <c r="G186" s="26"/>
      <c r="H186" s="18" t="s">
        <v>27</v>
      </c>
      <c r="I186" s="18"/>
      <c r="J186" s="30"/>
      <c r="K186" s="22" t="str">
        <f>+CONCATENATE(Tablo1710612131618202224[[#This Row],[DOSYA NO]],"_",Tablo1710612131618202224[[#This Row],[MÜŞTERİ ADI]],$P$10,"_",Tablo1710612131618202224[[#This Row],[İŞİN ADI]],"_",Tablo1710612131618202224[[#This Row],[İŞİN TÜRÜ]])</f>
        <v>202601177___EKB ÇİZİMİ</v>
      </c>
    </row>
    <row r="187" spans="1:11" s="22" customFormat="1" ht="24.95" customHeight="1" x14ac:dyDescent="0.25">
      <c r="A187" s="21">
        <v>46039</v>
      </c>
      <c r="B187" s="22">
        <v>202601178</v>
      </c>
      <c r="E187" s="22" t="s">
        <v>62</v>
      </c>
      <c r="F187" s="1" t="s">
        <v>5</v>
      </c>
      <c r="G187" s="26"/>
      <c r="H187" s="18" t="s">
        <v>27</v>
      </c>
      <c r="I187" s="18"/>
      <c r="J187" s="30"/>
      <c r="K187" s="22" t="str">
        <f>+CONCATENATE(Tablo1710612131618202224[[#This Row],[DOSYA NO]],"_",Tablo1710612131618202224[[#This Row],[MÜŞTERİ ADI]],$P$10,"_",Tablo1710612131618202224[[#This Row],[İŞİN ADI]],"_",Tablo1710612131618202224[[#This Row],[İŞİN TÜRÜ]])</f>
        <v>202601178___EKB ÇİZİMİ</v>
      </c>
    </row>
    <row r="188" spans="1:11" s="22" customFormat="1" ht="24.95" customHeight="1" x14ac:dyDescent="0.25">
      <c r="A188" s="21">
        <v>46039</v>
      </c>
      <c r="B188" s="22">
        <v>202601179</v>
      </c>
      <c r="E188" s="22" t="s">
        <v>62</v>
      </c>
      <c r="F188" s="1" t="s">
        <v>5</v>
      </c>
      <c r="G188" s="26"/>
      <c r="H188" s="18" t="s">
        <v>27</v>
      </c>
      <c r="I188" s="18"/>
      <c r="J188" s="30"/>
      <c r="K188" s="22" t="str">
        <f>+CONCATENATE(Tablo1710612131618202224[[#This Row],[DOSYA NO]],"_",Tablo1710612131618202224[[#This Row],[MÜŞTERİ ADI]],$P$10,"_",Tablo1710612131618202224[[#This Row],[İŞİN ADI]],"_",Tablo1710612131618202224[[#This Row],[İŞİN TÜRÜ]])</f>
        <v>202601179___EKB ÇİZİMİ</v>
      </c>
    </row>
    <row r="189" spans="1:11" s="22" customFormat="1" ht="24.95" customHeight="1" x14ac:dyDescent="0.25">
      <c r="A189" s="21">
        <v>46039</v>
      </c>
      <c r="B189" s="22">
        <v>202601180</v>
      </c>
      <c r="E189" s="22" t="s">
        <v>62</v>
      </c>
      <c r="F189" s="1" t="s">
        <v>5</v>
      </c>
      <c r="G189" s="26"/>
      <c r="H189" s="18" t="s">
        <v>27</v>
      </c>
      <c r="I189" s="18"/>
      <c r="J189" s="30"/>
      <c r="K189" s="22" t="str">
        <f>+CONCATENATE(Tablo1710612131618202224[[#This Row],[DOSYA NO]],"_",Tablo1710612131618202224[[#This Row],[MÜŞTERİ ADI]],$P$10,"_",Tablo1710612131618202224[[#This Row],[İŞİN ADI]],"_",Tablo1710612131618202224[[#This Row],[İŞİN TÜRÜ]])</f>
        <v>202601180___EKB ÇİZİMİ</v>
      </c>
    </row>
    <row r="190" spans="1:11" s="22" customFormat="1" ht="24.95" customHeight="1" x14ac:dyDescent="0.25">
      <c r="A190" s="21">
        <v>46039</v>
      </c>
      <c r="B190" s="22">
        <v>202601181</v>
      </c>
      <c r="E190" s="22" t="s">
        <v>77</v>
      </c>
      <c r="F190" s="1" t="s">
        <v>14</v>
      </c>
      <c r="G190" s="26"/>
      <c r="H190" s="18"/>
      <c r="I190" s="18"/>
      <c r="J190" s="30"/>
      <c r="K190" s="22" t="str">
        <f>+CONCATENATE(Tablo1710612131618202224[[#This Row],[DOSYA NO]],"_",Tablo1710612131618202224[[#This Row],[MÜŞTERİ ADI]],$P$10,"_",Tablo1710612131618202224[[#This Row],[İŞİN ADI]],"_",Tablo1710612131618202224[[#This Row],[İŞİN TÜRÜ]])</f>
        <v>202601181___EKB ÇİZİM VE ONAYI</v>
      </c>
    </row>
    <row r="191" spans="1:11" s="22" customFormat="1" ht="24.95" customHeight="1" x14ac:dyDescent="0.25">
      <c r="A191" s="21">
        <v>46039</v>
      </c>
      <c r="B191" s="22">
        <v>202601182</v>
      </c>
      <c r="E191" s="22" t="s">
        <v>62</v>
      </c>
      <c r="F191" s="1" t="s">
        <v>5</v>
      </c>
      <c r="G191" s="26"/>
      <c r="H191" s="18" t="s">
        <v>27</v>
      </c>
      <c r="I191" s="18"/>
      <c r="J191" s="30"/>
      <c r="K191" s="22" t="str">
        <f>+CONCATENATE(Tablo1710612131618202224[[#This Row],[DOSYA NO]],"_",Tablo1710612131618202224[[#This Row],[MÜŞTERİ ADI]],$P$10,"_",Tablo1710612131618202224[[#This Row],[İŞİN ADI]],"_",Tablo1710612131618202224[[#This Row],[İŞİN TÜRÜ]])</f>
        <v>202601182___EKB ÇİZİMİ</v>
      </c>
    </row>
    <row r="192" spans="1:11" s="22" customFormat="1" ht="24.95" customHeight="1" x14ac:dyDescent="0.25">
      <c r="A192" s="21">
        <v>46039</v>
      </c>
      <c r="B192" s="22">
        <v>202601183</v>
      </c>
      <c r="E192" s="22" t="s">
        <v>62</v>
      </c>
      <c r="F192" s="1" t="s">
        <v>5</v>
      </c>
      <c r="G192" s="26"/>
      <c r="H192" s="18" t="s">
        <v>27</v>
      </c>
      <c r="I192" s="18"/>
      <c r="J192" s="30"/>
      <c r="K192" s="22" t="str">
        <f>+CONCATENATE(Tablo1710612131618202224[[#This Row],[DOSYA NO]],"_",Tablo1710612131618202224[[#This Row],[MÜŞTERİ ADI]],$P$10,"_",Tablo1710612131618202224[[#This Row],[İŞİN ADI]],"_",Tablo1710612131618202224[[#This Row],[İŞİN TÜRÜ]])</f>
        <v>202601183___EKB ÇİZİMİ</v>
      </c>
    </row>
    <row r="193" spans="1:11" s="22" customFormat="1" ht="24.95" customHeight="1" x14ac:dyDescent="0.25">
      <c r="A193" s="21">
        <v>46039</v>
      </c>
      <c r="B193" s="22">
        <v>202601184</v>
      </c>
      <c r="E193" s="22" t="s">
        <v>17</v>
      </c>
      <c r="F193" s="1" t="s">
        <v>5</v>
      </c>
      <c r="G193" s="26"/>
      <c r="H193" s="18" t="s">
        <v>27</v>
      </c>
      <c r="I193" s="18"/>
      <c r="J193" s="30"/>
      <c r="K193" s="22" t="str">
        <f>+CONCATENATE(Tablo1710612131618202224[[#This Row],[DOSYA NO]],"_",Tablo1710612131618202224[[#This Row],[MÜŞTERİ ADI]],$P$10,"_",Tablo1710612131618202224[[#This Row],[İŞİN ADI]],"_",Tablo1710612131618202224[[#This Row],[İŞİN TÜRÜ]])</f>
        <v>202601184___ÖN HESAP SONUÇ FORMU</v>
      </c>
    </row>
    <row r="194" spans="1:11" s="22" customFormat="1" ht="24.95" customHeight="1" x14ac:dyDescent="0.25">
      <c r="A194" s="21">
        <v>46039</v>
      </c>
      <c r="B194" s="22">
        <v>202601185</v>
      </c>
      <c r="E194" s="22" t="s">
        <v>17</v>
      </c>
      <c r="F194" s="1" t="s">
        <v>5</v>
      </c>
      <c r="G194" s="26"/>
      <c r="H194" s="18" t="s">
        <v>27</v>
      </c>
      <c r="I194" s="18"/>
      <c r="J194" s="30"/>
      <c r="K194" s="22" t="str">
        <f>+CONCATENATE(Tablo1710612131618202224[[#This Row],[DOSYA NO]],"_",Tablo1710612131618202224[[#This Row],[MÜŞTERİ ADI]],$P$10,"_",Tablo1710612131618202224[[#This Row],[İŞİN ADI]],"_",Tablo1710612131618202224[[#This Row],[İŞİN TÜRÜ]])</f>
        <v>202601185___ÖN HESAP SONUÇ FORMU</v>
      </c>
    </row>
    <row r="195" spans="1:11" s="22" customFormat="1" ht="24.95" customHeight="1" x14ac:dyDescent="0.25">
      <c r="A195" s="21">
        <v>46039</v>
      </c>
      <c r="B195" s="22">
        <v>202601186</v>
      </c>
      <c r="E195" s="22" t="s">
        <v>17</v>
      </c>
      <c r="F195" s="1" t="s">
        <v>5</v>
      </c>
      <c r="G195" s="26"/>
      <c r="H195" s="18" t="s">
        <v>27</v>
      </c>
      <c r="I195" s="18"/>
      <c r="J195" s="30"/>
      <c r="K195" s="22" t="str">
        <f>+CONCATENATE(Tablo1710612131618202224[[#This Row],[DOSYA NO]],"_",Tablo1710612131618202224[[#This Row],[MÜŞTERİ ADI]],$P$10,"_",Tablo1710612131618202224[[#This Row],[İŞİN ADI]],"_",Tablo1710612131618202224[[#This Row],[İŞİN TÜRÜ]])</f>
        <v>202601186___ÖN HESAP SONUÇ FORMU</v>
      </c>
    </row>
    <row r="196" spans="1:11" s="22" customFormat="1" ht="24.95" customHeight="1" x14ac:dyDescent="0.25">
      <c r="A196" s="21">
        <v>46039</v>
      </c>
      <c r="B196" s="22">
        <v>202601187</v>
      </c>
      <c r="E196" s="22" t="s">
        <v>62</v>
      </c>
      <c r="F196" s="1" t="s">
        <v>5</v>
      </c>
      <c r="G196" s="26"/>
      <c r="H196" s="18" t="s">
        <v>27</v>
      </c>
      <c r="I196" s="18" t="s">
        <v>278</v>
      </c>
      <c r="J196" s="30"/>
      <c r="K196" s="22" t="str">
        <f>+CONCATENATE(Tablo1710612131618202224[[#This Row],[DOSYA NO]],"_",Tablo1710612131618202224[[#This Row],[MÜŞTERİ ADI]],$P$10,"_",Tablo1710612131618202224[[#This Row],[İŞİN ADI]],"_",Tablo1710612131618202224[[#This Row],[İŞİN TÜRÜ]])</f>
        <v>202601187___EKB ÇİZİMİ</v>
      </c>
    </row>
    <row r="197" spans="1:11" s="22" customFormat="1" ht="24.95" customHeight="1" x14ac:dyDescent="0.25">
      <c r="A197" s="21">
        <v>46039</v>
      </c>
      <c r="B197" s="22">
        <v>202601188</v>
      </c>
      <c r="E197" s="22" t="s">
        <v>62</v>
      </c>
      <c r="F197" s="1" t="s">
        <v>5</v>
      </c>
      <c r="G197" s="26"/>
      <c r="H197" s="18" t="s">
        <v>27</v>
      </c>
      <c r="I197" s="18"/>
      <c r="J197" s="30"/>
      <c r="K197" s="22" t="str">
        <f>+CONCATENATE(Tablo1710612131618202224[[#This Row],[DOSYA NO]],"_",Tablo1710612131618202224[[#This Row],[MÜŞTERİ ADI]],$P$10,"_",Tablo1710612131618202224[[#This Row],[İŞİN ADI]],"_",Tablo1710612131618202224[[#This Row],[İŞİN TÜRÜ]])</f>
        <v>202601188___EKB ÇİZİMİ</v>
      </c>
    </row>
    <row r="198" spans="1:11" s="22" customFormat="1" ht="24.95" customHeight="1" x14ac:dyDescent="0.25">
      <c r="A198" s="21">
        <v>46041</v>
      </c>
      <c r="B198" s="22">
        <v>202601189</v>
      </c>
      <c r="E198" s="22" t="s">
        <v>16</v>
      </c>
      <c r="F198" s="1" t="s">
        <v>5</v>
      </c>
      <c r="G198" s="26"/>
      <c r="H198" s="18" t="s">
        <v>27</v>
      </c>
      <c r="I198" s="18"/>
      <c r="J198" s="30"/>
      <c r="K198" s="22" t="str">
        <f>+CONCATENATE(Tablo1710612131618202224[[#This Row],[DOSYA NO]],"_",Tablo1710612131618202224[[#This Row],[MÜŞTERİ ADI]],$P$10,"_",Tablo1710612131618202224[[#This Row],[İŞİN ADI]],"_",Tablo1710612131618202224[[#This Row],[İŞİN TÜRÜ]])</f>
        <v>202601189___AKUSTİK RAPOR &amp; PROJE</v>
      </c>
    </row>
    <row r="199" spans="1:11" s="22" customFormat="1" ht="24.95" customHeight="1" x14ac:dyDescent="0.25">
      <c r="A199" s="21">
        <v>46041</v>
      </c>
      <c r="B199" s="22">
        <v>202601190</v>
      </c>
      <c r="E199" s="22" t="s">
        <v>16</v>
      </c>
      <c r="F199" s="1" t="s">
        <v>5</v>
      </c>
      <c r="G199" s="26"/>
      <c r="H199" s="18" t="s">
        <v>27</v>
      </c>
      <c r="I199" s="18"/>
      <c r="J199" s="30"/>
      <c r="K199" s="22" t="str">
        <f>+CONCATENATE(Tablo1710612131618202224[[#This Row],[DOSYA NO]],"_",Tablo1710612131618202224[[#This Row],[MÜŞTERİ ADI]],$P$10,"_",Tablo1710612131618202224[[#This Row],[İŞİN ADI]],"_",Tablo1710612131618202224[[#This Row],[İŞİN TÜRÜ]])</f>
        <v>202601190___AKUSTİK RAPOR &amp; PROJE</v>
      </c>
    </row>
    <row r="200" spans="1:11" s="22" customFormat="1" ht="24.95" customHeight="1" x14ac:dyDescent="0.25">
      <c r="A200" s="21">
        <v>46041</v>
      </c>
      <c r="B200" s="22">
        <v>202601191</v>
      </c>
      <c r="E200" s="22" t="s">
        <v>16</v>
      </c>
      <c r="F200" s="1" t="s">
        <v>5</v>
      </c>
      <c r="G200" s="26"/>
      <c r="H200" s="18" t="s">
        <v>27</v>
      </c>
      <c r="I200" s="18"/>
      <c r="J200" s="30"/>
      <c r="K200" s="22" t="str">
        <f>+CONCATENATE(Tablo1710612131618202224[[#This Row],[DOSYA NO]],"_",Tablo1710612131618202224[[#This Row],[MÜŞTERİ ADI]],$P$10,"_",Tablo1710612131618202224[[#This Row],[İŞİN ADI]],"_",Tablo1710612131618202224[[#This Row],[İŞİN TÜRÜ]])</f>
        <v>202601191___AKUSTİK RAPOR &amp; PROJE</v>
      </c>
    </row>
    <row r="201" spans="1:11" s="22" customFormat="1" ht="24.95" customHeight="1" x14ac:dyDescent="0.25">
      <c r="A201" s="21">
        <v>46041</v>
      </c>
      <c r="B201" s="22">
        <v>202601192</v>
      </c>
      <c r="E201" s="22" t="s">
        <v>16</v>
      </c>
      <c r="F201" s="1" t="s">
        <v>5</v>
      </c>
      <c r="G201" s="26"/>
      <c r="H201" s="18" t="s">
        <v>27</v>
      </c>
      <c r="I201" s="18"/>
      <c r="J201" s="30"/>
      <c r="K201" s="22" t="str">
        <f>+CONCATENATE(Tablo1710612131618202224[[#This Row],[DOSYA NO]],"_",Tablo1710612131618202224[[#This Row],[MÜŞTERİ ADI]],$P$10,"_",Tablo1710612131618202224[[#This Row],[İŞİN ADI]],"_",Tablo1710612131618202224[[#This Row],[İŞİN TÜRÜ]])</f>
        <v>202601192___AKUSTİK RAPOR &amp; PROJE</v>
      </c>
    </row>
    <row r="202" spans="1:11" s="22" customFormat="1" ht="24.95" customHeight="1" x14ac:dyDescent="0.25">
      <c r="A202" s="21">
        <v>46041</v>
      </c>
      <c r="B202" s="22">
        <v>202601193</v>
      </c>
      <c r="E202" s="22" t="s">
        <v>77</v>
      </c>
      <c r="F202" s="1" t="s">
        <v>5</v>
      </c>
      <c r="G202" s="26"/>
      <c r="H202" s="18" t="s">
        <v>27</v>
      </c>
      <c r="I202" s="18"/>
      <c r="J202" s="30"/>
      <c r="K202" s="22" t="str">
        <f>+CONCATENATE(Tablo1710612131618202224[[#This Row],[DOSYA NO]],"_",Tablo1710612131618202224[[#This Row],[MÜŞTERİ ADI]],$P$10,"_",Tablo1710612131618202224[[#This Row],[İŞİN ADI]],"_",Tablo1710612131618202224[[#This Row],[İŞİN TÜRÜ]])</f>
        <v>202601193___EKB ÇİZİM VE ONAYI</v>
      </c>
    </row>
    <row r="203" spans="1:11" s="22" customFormat="1" ht="24.95" customHeight="1" x14ac:dyDescent="0.25">
      <c r="A203" s="21">
        <v>46041</v>
      </c>
      <c r="B203" s="22">
        <v>202601194</v>
      </c>
      <c r="E203" s="22" t="s">
        <v>17</v>
      </c>
      <c r="F203" s="1" t="s">
        <v>5</v>
      </c>
      <c r="G203" s="26"/>
      <c r="H203" s="18" t="s">
        <v>27</v>
      </c>
      <c r="I203" s="18"/>
      <c r="J203" s="30"/>
      <c r="K203" s="22" t="str">
        <f>+CONCATENATE(Tablo1710612131618202224[[#This Row],[DOSYA NO]],"_",Tablo1710612131618202224[[#This Row],[MÜŞTERİ ADI]],$P$10,"_",Tablo1710612131618202224[[#This Row],[İŞİN ADI]],"_",Tablo1710612131618202224[[#This Row],[İŞİN TÜRÜ]])</f>
        <v>202601194___ÖN HESAP SONUÇ FORMU</v>
      </c>
    </row>
    <row r="204" spans="1:11" s="22" customFormat="1" ht="24.95" customHeight="1" x14ac:dyDescent="0.25">
      <c r="A204" s="21">
        <v>46041</v>
      </c>
      <c r="B204" s="22">
        <v>202601195</v>
      </c>
      <c r="E204" s="22" t="s">
        <v>16</v>
      </c>
      <c r="F204" s="1" t="s">
        <v>5</v>
      </c>
      <c r="G204" s="26"/>
      <c r="H204" s="18" t="s">
        <v>27</v>
      </c>
      <c r="I204" s="18"/>
      <c r="J204" s="30"/>
      <c r="K204" s="22" t="str">
        <f>+CONCATENATE(Tablo1710612131618202224[[#This Row],[DOSYA NO]],"_",Tablo1710612131618202224[[#This Row],[MÜŞTERİ ADI]],$P$10,"_",Tablo1710612131618202224[[#This Row],[İŞİN ADI]],"_",Tablo1710612131618202224[[#This Row],[İŞİN TÜRÜ]])</f>
        <v>202601195___AKUSTİK RAPOR &amp; PROJE</v>
      </c>
    </row>
    <row r="205" spans="1:11" s="22" customFormat="1" ht="24.95" customHeight="1" x14ac:dyDescent="0.25">
      <c r="A205" s="21">
        <v>46041</v>
      </c>
      <c r="B205" s="22">
        <v>202601196</v>
      </c>
      <c r="E205" s="22" t="s">
        <v>17</v>
      </c>
      <c r="F205" s="1" t="s">
        <v>5</v>
      </c>
      <c r="G205" s="26"/>
      <c r="H205" s="18" t="s">
        <v>27</v>
      </c>
      <c r="I205" s="18"/>
      <c r="J205" s="30"/>
      <c r="K205" s="22" t="str">
        <f>+CONCATENATE(Tablo1710612131618202224[[#This Row],[DOSYA NO]],"_",Tablo1710612131618202224[[#This Row],[MÜŞTERİ ADI]],$P$10,"_",Tablo1710612131618202224[[#This Row],[İŞİN ADI]],"_",Tablo1710612131618202224[[#This Row],[İŞİN TÜRÜ]])</f>
        <v>202601196___ÖN HESAP SONUÇ FORMU</v>
      </c>
    </row>
    <row r="206" spans="1:11" s="22" customFormat="1" ht="24.95" customHeight="1" x14ac:dyDescent="0.25">
      <c r="A206" s="21">
        <v>46041</v>
      </c>
      <c r="B206" s="22">
        <v>202601197</v>
      </c>
      <c r="E206" s="22" t="s">
        <v>16</v>
      </c>
      <c r="F206" s="1" t="s">
        <v>5</v>
      </c>
      <c r="G206" s="26"/>
      <c r="H206" s="18" t="s">
        <v>27</v>
      </c>
      <c r="I206" s="18"/>
      <c r="J206" s="30"/>
      <c r="K206" s="22" t="str">
        <f>+CONCATENATE(Tablo1710612131618202224[[#This Row],[DOSYA NO]],"_",Tablo1710612131618202224[[#This Row],[MÜŞTERİ ADI]],$P$10,"_",Tablo1710612131618202224[[#This Row],[İŞİN ADI]],"_",Tablo1710612131618202224[[#This Row],[İŞİN TÜRÜ]])</f>
        <v>202601197___AKUSTİK RAPOR &amp; PROJE</v>
      </c>
    </row>
    <row r="207" spans="1:11" s="22" customFormat="1" ht="24.95" customHeight="1" x14ac:dyDescent="0.25">
      <c r="A207" s="21">
        <v>46041</v>
      </c>
      <c r="B207" s="22">
        <v>202601198</v>
      </c>
      <c r="E207" s="22" t="s">
        <v>16</v>
      </c>
      <c r="F207" s="1" t="s">
        <v>5</v>
      </c>
      <c r="G207" s="26"/>
      <c r="H207" s="18" t="s">
        <v>27</v>
      </c>
      <c r="I207" s="18"/>
      <c r="J207" s="30"/>
      <c r="K207" s="22" t="str">
        <f>+CONCATENATE(Tablo1710612131618202224[[#This Row],[DOSYA NO]],"_",Tablo1710612131618202224[[#This Row],[MÜŞTERİ ADI]],$P$10,"_",Tablo1710612131618202224[[#This Row],[İŞİN ADI]],"_",Tablo1710612131618202224[[#This Row],[İŞİN TÜRÜ]])</f>
        <v>202601198___AKUSTİK RAPOR &amp; PROJE</v>
      </c>
    </row>
    <row r="208" spans="1:11" s="22" customFormat="1" ht="24.95" customHeight="1" x14ac:dyDescent="0.25">
      <c r="A208" s="21">
        <v>46041</v>
      </c>
      <c r="B208" s="22">
        <v>202601199</v>
      </c>
      <c r="E208" s="22" t="s">
        <v>62</v>
      </c>
      <c r="F208" s="1" t="s">
        <v>5</v>
      </c>
      <c r="G208" s="26"/>
      <c r="H208" s="18" t="s">
        <v>27</v>
      </c>
      <c r="I208" s="18"/>
      <c r="J208" s="30"/>
      <c r="K208" s="22" t="str">
        <f>+CONCATENATE(Tablo1710612131618202224[[#This Row],[DOSYA NO]],"_",Tablo1710612131618202224[[#This Row],[MÜŞTERİ ADI]],$P$10,"_",Tablo1710612131618202224[[#This Row],[İŞİN ADI]],"_",Tablo1710612131618202224[[#This Row],[İŞİN TÜRÜ]])</f>
        <v>202601199___EKB ÇİZİMİ</v>
      </c>
    </row>
    <row r="209" spans="1:11" s="22" customFormat="1" ht="24.95" customHeight="1" x14ac:dyDescent="0.25">
      <c r="A209" s="21">
        <v>46041</v>
      </c>
      <c r="B209" s="22">
        <v>202601200</v>
      </c>
      <c r="E209" s="22" t="s">
        <v>17</v>
      </c>
      <c r="F209" s="1" t="s">
        <v>5</v>
      </c>
      <c r="G209" s="26"/>
      <c r="H209" s="18" t="s">
        <v>27</v>
      </c>
      <c r="I209" s="18"/>
      <c r="J209" s="30"/>
      <c r="K209" s="22" t="str">
        <f>+CONCATENATE(Tablo1710612131618202224[[#This Row],[DOSYA NO]],"_",Tablo1710612131618202224[[#This Row],[MÜŞTERİ ADI]],$P$10,"_",Tablo1710612131618202224[[#This Row],[İŞİN ADI]],"_",Tablo1710612131618202224[[#This Row],[İŞİN TÜRÜ]])</f>
        <v>202601200___ÖN HESAP SONUÇ FORMU</v>
      </c>
    </row>
    <row r="210" spans="1:11" s="22" customFormat="1" ht="24.95" customHeight="1" x14ac:dyDescent="0.25">
      <c r="A210" s="21">
        <v>46041</v>
      </c>
      <c r="B210" s="22">
        <v>202601201</v>
      </c>
      <c r="E210" s="22" t="s">
        <v>17</v>
      </c>
      <c r="F210" s="1" t="s">
        <v>5</v>
      </c>
      <c r="G210" s="26"/>
      <c r="H210" s="18" t="s">
        <v>27</v>
      </c>
      <c r="I210" s="18"/>
      <c r="J210" s="30"/>
      <c r="K210" s="22" t="str">
        <f>+CONCATENATE(Tablo1710612131618202224[[#This Row],[DOSYA NO]],"_",Tablo1710612131618202224[[#This Row],[MÜŞTERİ ADI]],$P$10,"_",Tablo1710612131618202224[[#This Row],[İŞİN ADI]],"_",Tablo1710612131618202224[[#This Row],[İŞİN TÜRÜ]])</f>
        <v>202601201___ÖN HESAP SONUÇ FORMU</v>
      </c>
    </row>
    <row r="211" spans="1:11" s="22" customFormat="1" ht="24.95" customHeight="1" x14ac:dyDescent="0.25">
      <c r="A211" s="21">
        <v>46041</v>
      </c>
      <c r="B211" s="22">
        <v>202601202</v>
      </c>
      <c r="E211" s="22" t="s">
        <v>62</v>
      </c>
      <c r="F211" s="1" t="s">
        <v>5</v>
      </c>
      <c r="G211" s="26"/>
      <c r="H211" s="18" t="s">
        <v>27</v>
      </c>
      <c r="I211" s="18" t="s">
        <v>278</v>
      </c>
      <c r="J211" s="30"/>
      <c r="K211" s="22" t="str">
        <f>+CONCATENATE(Tablo1710612131618202224[[#This Row],[DOSYA NO]],"_",Tablo1710612131618202224[[#This Row],[MÜŞTERİ ADI]],$P$10,"_",Tablo1710612131618202224[[#This Row],[İŞİN ADI]],"_",Tablo1710612131618202224[[#This Row],[İŞİN TÜRÜ]])</f>
        <v>202601202___EKB ÇİZİMİ</v>
      </c>
    </row>
    <row r="212" spans="1:11" s="22" customFormat="1" ht="24.95" customHeight="1" x14ac:dyDescent="0.25">
      <c r="A212" s="21">
        <v>46041</v>
      </c>
      <c r="B212" s="22">
        <v>202601203</v>
      </c>
      <c r="E212" s="22" t="s">
        <v>62</v>
      </c>
      <c r="F212" s="1" t="s">
        <v>5</v>
      </c>
      <c r="G212" s="26"/>
      <c r="H212" s="18" t="s">
        <v>27</v>
      </c>
      <c r="I212" s="18"/>
      <c r="J212" s="30"/>
      <c r="K212" s="22" t="str">
        <f>+CONCATENATE(Tablo1710612131618202224[[#This Row],[DOSYA NO]],"_",Tablo1710612131618202224[[#This Row],[MÜŞTERİ ADI]],$P$10,"_",Tablo1710612131618202224[[#This Row],[İŞİN ADI]],"_",Tablo1710612131618202224[[#This Row],[İŞİN TÜRÜ]])</f>
        <v>202601203___EKB ÇİZİMİ</v>
      </c>
    </row>
    <row r="213" spans="1:11" s="22" customFormat="1" ht="24.95" customHeight="1" x14ac:dyDescent="0.25">
      <c r="A213" s="21">
        <v>46041</v>
      </c>
      <c r="B213" s="22">
        <v>202601204</v>
      </c>
      <c r="E213" s="22" t="s">
        <v>62</v>
      </c>
      <c r="F213" s="1" t="s">
        <v>5</v>
      </c>
      <c r="G213" s="26"/>
      <c r="H213" s="18" t="s">
        <v>27</v>
      </c>
      <c r="I213" s="18"/>
      <c r="J213" s="30"/>
      <c r="K213" s="22" t="str">
        <f>+CONCATENATE(Tablo1710612131618202224[[#This Row],[DOSYA NO]],"_",Tablo1710612131618202224[[#This Row],[MÜŞTERİ ADI]],$P$10,"_",Tablo1710612131618202224[[#This Row],[İŞİN ADI]],"_",Tablo1710612131618202224[[#This Row],[İŞİN TÜRÜ]])</f>
        <v>202601204___EKB ÇİZİMİ</v>
      </c>
    </row>
    <row r="214" spans="1:11" s="22" customFormat="1" ht="24.95" customHeight="1" x14ac:dyDescent="0.25">
      <c r="A214" s="21">
        <v>46041</v>
      </c>
      <c r="B214" s="22">
        <v>202601205</v>
      </c>
      <c r="E214" s="22" t="s">
        <v>62</v>
      </c>
      <c r="F214" s="1" t="s">
        <v>5</v>
      </c>
      <c r="G214" s="26"/>
      <c r="H214" s="18" t="s">
        <v>27</v>
      </c>
      <c r="I214" s="18"/>
      <c r="J214" s="30"/>
      <c r="K214" s="22" t="str">
        <f>+CONCATENATE(Tablo1710612131618202224[[#This Row],[DOSYA NO]],"_",Tablo1710612131618202224[[#This Row],[MÜŞTERİ ADI]],$P$10,"_",Tablo1710612131618202224[[#This Row],[İŞİN ADI]],"_",Tablo1710612131618202224[[#This Row],[İŞİN TÜRÜ]])</f>
        <v>202601205___EKB ÇİZİMİ</v>
      </c>
    </row>
    <row r="215" spans="1:11" s="22" customFormat="1" ht="24.95" customHeight="1" x14ac:dyDescent="0.25">
      <c r="A215" s="21">
        <v>46042</v>
      </c>
      <c r="B215" s="22">
        <v>202601206</v>
      </c>
      <c r="E215" s="22" t="s">
        <v>62</v>
      </c>
      <c r="F215" s="1" t="s">
        <v>5</v>
      </c>
      <c r="G215" s="26"/>
      <c r="H215" s="18" t="s">
        <v>27</v>
      </c>
      <c r="I215" s="18"/>
      <c r="J215" s="30"/>
      <c r="K215" s="22" t="str">
        <f>+CONCATENATE(Tablo1710612131618202224[[#This Row],[DOSYA NO]],"_",Tablo1710612131618202224[[#This Row],[MÜŞTERİ ADI]],$P$10,"_",Tablo1710612131618202224[[#This Row],[İŞİN ADI]],"_",Tablo1710612131618202224[[#This Row],[İŞİN TÜRÜ]])</f>
        <v>202601206___EKB ÇİZİMİ</v>
      </c>
    </row>
    <row r="216" spans="1:11" s="22" customFormat="1" ht="24.95" customHeight="1" x14ac:dyDescent="0.25">
      <c r="A216" s="21">
        <v>46042</v>
      </c>
      <c r="B216" s="22">
        <v>202601207</v>
      </c>
      <c r="E216" s="22" t="s">
        <v>17</v>
      </c>
      <c r="F216" s="1" t="s">
        <v>5</v>
      </c>
      <c r="G216" s="26"/>
      <c r="H216" s="18" t="s">
        <v>27</v>
      </c>
      <c r="I216" s="18"/>
      <c r="J216" s="30"/>
      <c r="K216" s="22" t="str">
        <f>+CONCATENATE(Tablo1710612131618202224[[#This Row],[DOSYA NO]],"_",Tablo1710612131618202224[[#This Row],[MÜŞTERİ ADI]],$P$10,"_",Tablo1710612131618202224[[#This Row],[İŞİN ADI]],"_",Tablo1710612131618202224[[#This Row],[İŞİN TÜRÜ]])</f>
        <v>202601207___ÖN HESAP SONUÇ FORMU</v>
      </c>
    </row>
    <row r="217" spans="1:11" s="22" customFormat="1" ht="24.95" customHeight="1" x14ac:dyDescent="0.25">
      <c r="A217" s="21">
        <v>46042</v>
      </c>
      <c r="B217" s="22">
        <v>202601208</v>
      </c>
      <c r="E217" s="22" t="s">
        <v>16</v>
      </c>
      <c r="F217" s="1" t="s">
        <v>5</v>
      </c>
      <c r="G217" s="26"/>
      <c r="H217" s="18" t="s">
        <v>27</v>
      </c>
      <c r="I217" s="18"/>
      <c r="J217" s="30"/>
      <c r="K217" s="22" t="str">
        <f>+CONCATENATE(Tablo1710612131618202224[[#This Row],[DOSYA NO]],"_",Tablo1710612131618202224[[#This Row],[MÜŞTERİ ADI]],$P$10,"_",Tablo1710612131618202224[[#This Row],[İŞİN ADI]],"_",Tablo1710612131618202224[[#This Row],[İŞİN TÜRÜ]])</f>
        <v>202601208___AKUSTİK RAPOR &amp; PROJE</v>
      </c>
    </row>
    <row r="218" spans="1:11" s="22" customFormat="1" ht="24.95" customHeight="1" x14ac:dyDescent="0.25">
      <c r="A218" s="21">
        <v>46042</v>
      </c>
      <c r="B218" s="22">
        <v>202601209</v>
      </c>
      <c r="E218" s="22" t="s">
        <v>62</v>
      </c>
      <c r="F218" s="1" t="s">
        <v>5</v>
      </c>
      <c r="G218" s="26"/>
      <c r="H218" s="18" t="s">
        <v>27</v>
      </c>
      <c r="I218" s="18"/>
      <c r="J218" s="30"/>
      <c r="K218" s="22" t="str">
        <f>+CONCATENATE(Tablo1710612131618202224[[#This Row],[DOSYA NO]],"_",Tablo1710612131618202224[[#This Row],[MÜŞTERİ ADI]],$P$10,"_",Tablo1710612131618202224[[#This Row],[İŞİN ADI]],"_",Tablo1710612131618202224[[#This Row],[İŞİN TÜRÜ]])</f>
        <v>202601209___EKB ÇİZİMİ</v>
      </c>
    </row>
    <row r="219" spans="1:11" s="22" customFormat="1" ht="24.95" customHeight="1" x14ac:dyDescent="0.25">
      <c r="A219" s="21">
        <v>46042</v>
      </c>
      <c r="B219" s="22">
        <v>202601210</v>
      </c>
      <c r="E219" s="22" t="s">
        <v>62</v>
      </c>
      <c r="F219" s="1" t="s">
        <v>5</v>
      </c>
      <c r="G219" s="26"/>
      <c r="H219" s="18" t="s">
        <v>27</v>
      </c>
      <c r="I219" s="18"/>
      <c r="J219" s="30"/>
      <c r="K219" s="22" t="str">
        <f>+CONCATENATE(Tablo1710612131618202224[[#This Row],[DOSYA NO]],"_",Tablo1710612131618202224[[#This Row],[MÜŞTERİ ADI]],$P$10,"_",Tablo1710612131618202224[[#This Row],[İŞİN ADI]],"_",Tablo1710612131618202224[[#This Row],[İŞİN TÜRÜ]])</f>
        <v>202601210___EKB ÇİZİMİ</v>
      </c>
    </row>
    <row r="220" spans="1:11" s="22" customFormat="1" ht="24.95" customHeight="1" x14ac:dyDescent="0.25">
      <c r="A220" s="21">
        <v>46042</v>
      </c>
      <c r="B220" s="22">
        <v>202601211</v>
      </c>
      <c r="E220" s="22" t="s">
        <v>16</v>
      </c>
      <c r="F220" s="1" t="s">
        <v>5</v>
      </c>
      <c r="G220" s="26"/>
      <c r="H220" s="18" t="s">
        <v>27</v>
      </c>
      <c r="I220" s="18"/>
      <c r="J220" s="30"/>
      <c r="K220" s="22" t="str">
        <f>+CONCATENATE(Tablo1710612131618202224[[#This Row],[DOSYA NO]],"_",Tablo1710612131618202224[[#This Row],[MÜŞTERİ ADI]],$P$10,"_",Tablo1710612131618202224[[#This Row],[İŞİN ADI]],"_",Tablo1710612131618202224[[#This Row],[İŞİN TÜRÜ]])</f>
        <v>202601211___AKUSTİK RAPOR &amp; PROJE</v>
      </c>
    </row>
    <row r="221" spans="1:11" s="22" customFormat="1" ht="24.95" customHeight="1" x14ac:dyDescent="0.25">
      <c r="A221" s="21">
        <v>46042</v>
      </c>
      <c r="B221" s="22">
        <v>202601212</v>
      </c>
      <c r="E221" s="22" t="s">
        <v>16</v>
      </c>
      <c r="F221" s="1" t="s">
        <v>5</v>
      </c>
      <c r="G221" s="26"/>
      <c r="H221" s="18" t="s">
        <v>22</v>
      </c>
      <c r="I221" s="18"/>
      <c r="J221" s="30"/>
      <c r="K221" s="22" t="str">
        <f>+CONCATENATE(Tablo1710612131618202224[[#This Row],[DOSYA NO]],"_",Tablo1710612131618202224[[#This Row],[MÜŞTERİ ADI]],$P$10,"_",Tablo1710612131618202224[[#This Row],[İŞİN ADI]],"_",Tablo1710612131618202224[[#This Row],[İŞİN TÜRÜ]])</f>
        <v>202601212___AKUSTİK RAPOR &amp; PROJE</v>
      </c>
    </row>
    <row r="222" spans="1:11" s="22" customFormat="1" ht="24.95" customHeight="1" x14ac:dyDescent="0.25">
      <c r="A222" s="21">
        <v>46042</v>
      </c>
      <c r="B222" s="22">
        <v>202601213</v>
      </c>
      <c r="E222" s="22" t="s">
        <v>17</v>
      </c>
      <c r="F222" s="1" t="s">
        <v>5</v>
      </c>
      <c r="G222" s="26"/>
      <c r="H222" s="18" t="s">
        <v>27</v>
      </c>
      <c r="I222" s="18"/>
      <c r="J222" s="30"/>
      <c r="K222" s="22" t="str">
        <f>+CONCATENATE(Tablo1710612131618202224[[#This Row],[DOSYA NO]],"_",Tablo1710612131618202224[[#This Row],[MÜŞTERİ ADI]],$P$10,"_",Tablo1710612131618202224[[#This Row],[İŞİN ADI]],"_",Tablo1710612131618202224[[#This Row],[İŞİN TÜRÜ]])</f>
        <v>202601213___ÖN HESAP SONUÇ FORMU</v>
      </c>
    </row>
    <row r="223" spans="1:11" s="22" customFormat="1" ht="24.95" customHeight="1" x14ac:dyDescent="0.25">
      <c r="A223" s="21">
        <v>46042</v>
      </c>
      <c r="B223" s="22">
        <v>202601214</v>
      </c>
      <c r="E223" s="22" t="s">
        <v>16</v>
      </c>
      <c r="F223" s="1" t="s">
        <v>5</v>
      </c>
      <c r="G223" s="26"/>
      <c r="H223" s="18" t="s">
        <v>27</v>
      </c>
      <c r="I223" s="18"/>
      <c r="J223" s="30"/>
      <c r="K223" s="22" t="str">
        <f>+CONCATENATE(Tablo1710612131618202224[[#This Row],[DOSYA NO]],"_",Tablo1710612131618202224[[#This Row],[MÜŞTERİ ADI]],$P$10,"_",Tablo1710612131618202224[[#This Row],[İŞİN ADI]],"_",Tablo1710612131618202224[[#This Row],[İŞİN TÜRÜ]])</f>
        <v>202601214___AKUSTİK RAPOR &amp; PROJE</v>
      </c>
    </row>
    <row r="224" spans="1:11" s="22" customFormat="1" ht="24.95" customHeight="1" x14ac:dyDescent="0.25">
      <c r="A224" s="21">
        <v>46042</v>
      </c>
      <c r="B224" s="22">
        <v>202601215</v>
      </c>
      <c r="E224" s="22" t="s">
        <v>79</v>
      </c>
      <c r="F224" s="1" t="s">
        <v>5</v>
      </c>
      <c r="G224" s="26"/>
      <c r="H224" s="18" t="s">
        <v>27</v>
      </c>
      <c r="I224" s="18"/>
      <c r="J224" s="30"/>
      <c r="K224" s="22" t="str">
        <f>+CONCATENATE(Tablo1710612131618202224[[#This Row],[DOSYA NO]],"_",Tablo1710612131618202224[[#This Row],[MÜŞTERİ ADI]],$P$10,"_",Tablo1710612131618202224[[#This Row],[İŞİN ADI]],"_",Tablo1710612131618202224[[#This Row],[İŞİN TÜRÜ]])</f>
        <v>202601215___EKB ONAYI</v>
      </c>
    </row>
    <row r="225" spans="1:11" s="22" customFormat="1" ht="24.95" customHeight="1" x14ac:dyDescent="0.25">
      <c r="A225" s="21">
        <v>46042</v>
      </c>
      <c r="B225" s="22">
        <v>202601216</v>
      </c>
      <c r="E225" s="22" t="s">
        <v>79</v>
      </c>
      <c r="F225" s="1" t="s">
        <v>5</v>
      </c>
      <c r="G225" s="26"/>
      <c r="H225" s="18" t="s">
        <v>27</v>
      </c>
      <c r="I225" s="18"/>
      <c r="J225" s="30"/>
      <c r="K225" s="22" t="str">
        <f>+CONCATENATE(Tablo1710612131618202224[[#This Row],[DOSYA NO]],"_",Tablo1710612131618202224[[#This Row],[MÜŞTERİ ADI]],$P$10,"_",Tablo1710612131618202224[[#This Row],[İŞİN ADI]],"_",Tablo1710612131618202224[[#This Row],[İŞİN TÜRÜ]])</f>
        <v>202601216___EKB ONAYI</v>
      </c>
    </row>
    <row r="226" spans="1:11" s="22" customFormat="1" ht="24.95" customHeight="1" x14ac:dyDescent="0.25">
      <c r="A226" s="21">
        <v>46042</v>
      </c>
      <c r="B226" s="22">
        <v>202601217</v>
      </c>
      <c r="E226" s="22" t="s">
        <v>79</v>
      </c>
      <c r="F226" s="1" t="s">
        <v>6</v>
      </c>
      <c r="G226" s="26"/>
      <c r="H226" s="18" t="s">
        <v>27</v>
      </c>
      <c r="I226" s="18"/>
      <c r="J226" s="30"/>
      <c r="K226" s="22" t="str">
        <f>+CONCATENATE(Tablo1710612131618202224[[#This Row],[DOSYA NO]],"_",Tablo1710612131618202224[[#This Row],[MÜŞTERİ ADI]],$P$10,"_",Tablo1710612131618202224[[#This Row],[İŞİN ADI]],"_",Tablo1710612131618202224[[#This Row],[İŞİN TÜRÜ]])</f>
        <v>202601217___EKB ONAYI</v>
      </c>
    </row>
    <row r="227" spans="1:11" s="22" customFormat="1" ht="24.95" customHeight="1" x14ac:dyDescent="0.25">
      <c r="A227" s="21">
        <v>46042</v>
      </c>
      <c r="B227" s="22">
        <v>202601218</v>
      </c>
      <c r="E227" s="22" t="s">
        <v>79</v>
      </c>
      <c r="F227" s="1" t="s">
        <v>5</v>
      </c>
      <c r="G227" s="26"/>
      <c r="H227" s="18" t="s">
        <v>27</v>
      </c>
      <c r="I227" s="18"/>
      <c r="J227" s="30"/>
      <c r="K227" s="22" t="str">
        <f>+CONCATENATE(Tablo1710612131618202224[[#This Row],[DOSYA NO]],"_",Tablo1710612131618202224[[#This Row],[MÜŞTERİ ADI]],$P$10,"_",Tablo1710612131618202224[[#This Row],[İŞİN ADI]],"_",Tablo1710612131618202224[[#This Row],[İŞİN TÜRÜ]])</f>
        <v>202601218___EKB ONAYI</v>
      </c>
    </row>
    <row r="228" spans="1:11" s="22" customFormat="1" ht="24.95" customHeight="1" x14ac:dyDescent="0.25">
      <c r="A228" s="21">
        <v>46042</v>
      </c>
      <c r="B228" s="22">
        <v>202601219</v>
      </c>
      <c r="E228" s="22" t="s">
        <v>62</v>
      </c>
      <c r="F228" s="1" t="s">
        <v>5</v>
      </c>
      <c r="G228" s="26"/>
      <c r="H228" s="18" t="s">
        <v>27</v>
      </c>
      <c r="I228" s="18"/>
      <c r="J228" s="30"/>
      <c r="K228" s="22" t="str">
        <f>+CONCATENATE(Tablo1710612131618202224[[#This Row],[DOSYA NO]],"_",Tablo1710612131618202224[[#This Row],[MÜŞTERİ ADI]],$P$10,"_",Tablo1710612131618202224[[#This Row],[İŞİN ADI]],"_",Tablo1710612131618202224[[#This Row],[İŞİN TÜRÜ]])</f>
        <v>202601219___EKB ÇİZİMİ</v>
      </c>
    </row>
    <row r="229" spans="1:11" s="22" customFormat="1" ht="24.95" customHeight="1" x14ac:dyDescent="0.25">
      <c r="A229" s="21">
        <v>46042</v>
      </c>
      <c r="B229" s="22">
        <v>202601220</v>
      </c>
      <c r="E229" s="22" t="s">
        <v>17</v>
      </c>
      <c r="F229" s="1" t="s">
        <v>5</v>
      </c>
      <c r="G229" s="26"/>
      <c r="H229" s="18" t="s">
        <v>27</v>
      </c>
      <c r="I229" s="18"/>
      <c r="J229" s="30"/>
      <c r="K229" s="22" t="str">
        <f>+CONCATENATE(Tablo1710612131618202224[[#This Row],[DOSYA NO]],"_",Tablo1710612131618202224[[#This Row],[MÜŞTERİ ADI]],$P$10,"_",Tablo1710612131618202224[[#This Row],[İŞİN ADI]],"_",Tablo1710612131618202224[[#This Row],[İŞİN TÜRÜ]])</f>
        <v>202601220___ÖN HESAP SONUÇ FORMU</v>
      </c>
    </row>
    <row r="230" spans="1:11" s="22" customFormat="1" ht="24.95" customHeight="1" x14ac:dyDescent="0.25">
      <c r="A230" s="21">
        <v>46042</v>
      </c>
      <c r="B230" s="22">
        <v>202601221</v>
      </c>
      <c r="E230" s="22" t="s">
        <v>16</v>
      </c>
      <c r="F230" s="1" t="s">
        <v>5</v>
      </c>
      <c r="G230" s="26"/>
      <c r="H230" s="18" t="s">
        <v>27</v>
      </c>
      <c r="I230" s="18"/>
      <c r="J230" s="30"/>
      <c r="K230" s="22" t="str">
        <f>+CONCATENATE(Tablo1710612131618202224[[#This Row],[DOSYA NO]],"_",Tablo1710612131618202224[[#This Row],[MÜŞTERİ ADI]],$P$10,"_",Tablo1710612131618202224[[#This Row],[İŞİN ADI]],"_",Tablo1710612131618202224[[#This Row],[İŞİN TÜRÜ]])</f>
        <v>202601221___AKUSTİK RAPOR &amp; PROJE</v>
      </c>
    </row>
    <row r="231" spans="1:11" s="22" customFormat="1" ht="24.95" customHeight="1" x14ac:dyDescent="0.25">
      <c r="A231" s="21">
        <v>46042</v>
      </c>
      <c r="B231" s="22">
        <v>202601222</v>
      </c>
      <c r="E231" s="22" t="s">
        <v>79</v>
      </c>
      <c r="F231" s="1" t="s">
        <v>5</v>
      </c>
      <c r="G231" s="26"/>
      <c r="H231" s="18" t="s">
        <v>27</v>
      </c>
      <c r="I231" s="18"/>
      <c r="J231" s="30"/>
      <c r="K231" s="22" t="str">
        <f>+CONCATENATE(Tablo1710612131618202224[[#This Row],[DOSYA NO]],"_",Tablo1710612131618202224[[#This Row],[MÜŞTERİ ADI]],$P$10,"_",Tablo1710612131618202224[[#This Row],[İŞİN ADI]],"_",Tablo1710612131618202224[[#This Row],[İŞİN TÜRÜ]])</f>
        <v>202601222___EKB ONAYI</v>
      </c>
    </row>
    <row r="232" spans="1:11" s="22" customFormat="1" ht="24.95" customHeight="1" x14ac:dyDescent="0.25">
      <c r="A232" s="21">
        <v>46042</v>
      </c>
      <c r="B232" s="22">
        <v>202601223</v>
      </c>
      <c r="E232" s="22" t="s">
        <v>79</v>
      </c>
      <c r="F232" s="1" t="s">
        <v>5</v>
      </c>
      <c r="G232" s="26"/>
      <c r="H232" s="18" t="s">
        <v>27</v>
      </c>
      <c r="I232" s="18"/>
      <c r="J232" s="30"/>
      <c r="K232" s="22" t="str">
        <f>+CONCATENATE(Tablo1710612131618202224[[#This Row],[DOSYA NO]],"_",Tablo1710612131618202224[[#This Row],[MÜŞTERİ ADI]],$P$10,"_",Tablo1710612131618202224[[#This Row],[İŞİN ADI]],"_",Tablo1710612131618202224[[#This Row],[İŞİN TÜRÜ]])</f>
        <v>202601223___EKB ONAYI</v>
      </c>
    </row>
    <row r="233" spans="1:11" s="22" customFormat="1" ht="24.95" customHeight="1" x14ac:dyDescent="0.25">
      <c r="A233" s="21">
        <v>46043</v>
      </c>
      <c r="B233" s="22">
        <v>202601224</v>
      </c>
      <c r="E233" s="22" t="s">
        <v>16</v>
      </c>
      <c r="F233" s="1" t="s">
        <v>5</v>
      </c>
      <c r="G233" s="26"/>
      <c r="H233" s="18" t="s">
        <v>27</v>
      </c>
      <c r="I233" s="18"/>
      <c r="J233" s="30"/>
      <c r="K233" s="22" t="str">
        <f>+CONCATENATE(Tablo1710612131618202224[[#This Row],[DOSYA NO]],"_",Tablo1710612131618202224[[#This Row],[MÜŞTERİ ADI]],$P$10,"_",Tablo1710612131618202224[[#This Row],[İŞİN ADI]],"_",Tablo1710612131618202224[[#This Row],[İŞİN TÜRÜ]])</f>
        <v>202601224___AKUSTİK RAPOR &amp; PROJE</v>
      </c>
    </row>
    <row r="234" spans="1:11" s="22" customFormat="1" ht="24.95" customHeight="1" x14ac:dyDescent="0.25">
      <c r="A234" s="21">
        <v>46043</v>
      </c>
      <c r="B234" s="22">
        <v>202601225</v>
      </c>
      <c r="E234" s="22" t="s">
        <v>17</v>
      </c>
      <c r="F234" s="1" t="s">
        <v>5</v>
      </c>
      <c r="G234" s="26"/>
      <c r="H234" s="18" t="s">
        <v>27</v>
      </c>
      <c r="I234" s="18"/>
      <c r="J234" s="30"/>
      <c r="K234" s="22" t="str">
        <f>+CONCATENATE(Tablo1710612131618202224[[#This Row],[DOSYA NO]],"_",Tablo1710612131618202224[[#This Row],[MÜŞTERİ ADI]],$P$10,"_",Tablo1710612131618202224[[#This Row],[İŞİN ADI]],"_",Tablo1710612131618202224[[#This Row],[İŞİN TÜRÜ]])</f>
        <v>202601225___ÖN HESAP SONUÇ FORMU</v>
      </c>
    </row>
    <row r="235" spans="1:11" s="22" customFormat="1" ht="24.95" customHeight="1" x14ac:dyDescent="0.25">
      <c r="A235" s="21">
        <v>46043</v>
      </c>
      <c r="B235" s="22">
        <v>202601226</v>
      </c>
      <c r="E235" s="22" t="s">
        <v>17</v>
      </c>
      <c r="F235" s="1" t="s">
        <v>5</v>
      </c>
      <c r="G235" s="26"/>
      <c r="H235" s="18" t="s">
        <v>27</v>
      </c>
      <c r="I235" s="18"/>
      <c r="J235" s="30"/>
      <c r="K235" s="22" t="str">
        <f>+CONCATENATE(Tablo1710612131618202224[[#This Row],[DOSYA NO]],"_",Tablo1710612131618202224[[#This Row],[MÜŞTERİ ADI]],$P$10,"_",Tablo1710612131618202224[[#This Row],[İŞİN ADI]],"_",Tablo1710612131618202224[[#This Row],[İŞİN TÜRÜ]])</f>
        <v>202601226___ÖN HESAP SONUÇ FORMU</v>
      </c>
    </row>
    <row r="236" spans="1:11" s="22" customFormat="1" ht="24.95" customHeight="1" x14ac:dyDescent="0.25">
      <c r="A236" s="21">
        <v>46043</v>
      </c>
      <c r="B236" s="22">
        <v>202601227</v>
      </c>
      <c r="E236" s="22" t="s">
        <v>16</v>
      </c>
      <c r="F236" s="1" t="s">
        <v>5</v>
      </c>
      <c r="G236" s="26"/>
      <c r="H236" s="18" t="s">
        <v>27</v>
      </c>
      <c r="I236" s="18"/>
      <c r="J236" s="30"/>
      <c r="K236" s="22" t="str">
        <f>+CONCATENATE(Tablo1710612131618202224[[#This Row],[DOSYA NO]],"_",Tablo1710612131618202224[[#This Row],[MÜŞTERİ ADI]],$P$10,"_",Tablo1710612131618202224[[#This Row],[İŞİN ADI]],"_",Tablo1710612131618202224[[#This Row],[İŞİN TÜRÜ]])</f>
        <v>202601227___AKUSTİK RAPOR &amp; PROJE</v>
      </c>
    </row>
    <row r="237" spans="1:11" s="22" customFormat="1" ht="24.95" customHeight="1" x14ac:dyDescent="0.25">
      <c r="A237" s="21">
        <v>46043</v>
      </c>
      <c r="B237" s="22">
        <v>202601228</v>
      </c>
      <c r="E237" s="22" t="s">
        <v>16</v>
      </c>
      <c r="F237" s="1" t="s">
        <v>5</v>
      </c>
      <c r="G237" s="26"/>
      <c r="H237" s="18" t="s">
        <v>27</v>
      </c>
      <c r="I237" s="18"/>
      <c r="J237" s="30"/>
      <c r="K237" s="22" t="str">
        <f>+CONCATENATE(Tablo1710612131618202224[[#This Row],[DOSYA NO]],"_",Tablo1710612131618202224[[#This Row],[MÜŞTERİ ADI]],$P$10,"_",Tablo1710612131618202224[[#This Row],[İŞİN ADI]],"_",Tablo1710612131618202224[[#This Row],[İŞİN TÜRÜ]])</f>
        <v>202601228___AKUSTİK RAPOR &amp; PROJE</v>
      </c>
    </row>
    <row r="238" spans="1:11" s="22" customFormat="1" ht="24.95" customHeight="1" x14ac:dyDescent="0.25">
      <c r="A238" s="21">
        <v>46043</v>
      </c>
      <c r="B238" s="22">
        <v>202601229</v>
      </c>
      <c r="E238" s="22" t="s">
        <v>17</v>
      </c>
      <c r="F238" s="1" t="s">
        <v>5</v>
      </c>
      <c r="G238" s="26"/>
      <c r="H238" s="18" t="s">
        <v>27</v>
      </c>
      <c r="I238" s="18"/>
      <c r="J238" s="30"/>
      <c r="K238" s="22" t="str">
        <f>+CONCATENATE(Tablo1710612131618202224[[#This Row],[DOSYA NO]],"_",Tablo1710612131618202224[[#This Row],[MÜŞTERİ ADI]],$P$10,"_",Tablo1710612131618202224[[#This Row],[İŞİN ADI]],"_",Tablo1710612131618202224[[#This Row],[İŞİN TÜRÜ]])</f>
        <v>202601229___ÖN HESAP SONUÇ FORMU</v>
      </c>
    </row>
    <row r="239" spans="1:11" s="22" customFormat="1" ht="24.95" customHeight="1" x14ac:dyDescent="0.25">
      <c r="A239" s="21">
        <v>46043</v>
      </c>
      <c r="B239" s="22">
        <v>202601230</v>
      </c>
      <c r="E239" s="22" t="s">
        <v>16</v>
      </c>
      <c r="F239" s="1" t="s">
        <v>5</v>
      </c>
      <c r="G239" s="26"/>
      <c r="H239" s="18" t="s">
        <v>27</v>
      </c>
      <c r="I239" s="18"/>
      <c r="J239" s="30"/>
      <c r="K239" s="22" t="str">
        <f>+CONCATENATE(Tablo1710612131618202224[[#This Row],[DOSYA NO]],"_",Tablo1710612131618202224[[#This Row],[MÜŞTERİ ADI]],$P$10,"_",Tablo1710612131618202224[[#This Row],[İŞİN ADI]],"_",Tablo1710612131618202224[[#This Row],[İŞİN TÜRÜ]])</f>
        <v>202601230___AKUSTİK RAPOR &amp; PROJE</v>
      </c>
    </row>
    <row r="240" spans="1:11" s="22" customFormat="1" ht="24.95" customHeight="1" x14ac:dyDescent="0.25">
      <c r="A240" s="21">
        <v>46043</v>
      </c>
      <c r="B240" s="22">
        <v>202601231</v>
      </c>
      <c r="E240" s="22" t="s">
        <v>62</v>
      </c>
      <c r="F240" s="1" t="s">
        <v>5</v>
      </c>
      <c r="G240" s="26"/>
      <c r="H240" s="18" t="s">
        <v>27</v>
      </c>
      <c r="I240" s="18"/>
      <c r="J240" s="30"/>
      <c r="K240" s="22" t="str">
        <f>+CONCATENATE(Tablo1710612131618202224[[#This Row],[DOSYA NO]],"_",Tablo1710612131618202224[[#This Row],[MÜŞTERİ ADI]],$P$10,"_",Tablo1710612131618202224[[#This Row],[İŞİN ADI]],"_",Tablo1710612131618202224[[#This Row],[İŞİN TÜRÜ]])</f>
        <v>202601231___EKB ÇİZİMİ</v>
      </c>
    </row>
    <row r="241" spans="1:11" s="22" customFormat="1" ht="24.95" customHeight="1" x14ac:dyDescent="0.25">
      <c r="A241" s="21">
        <v>46043</v>
      </c>
      <c r="B241" s="22">
        <v>202601232</v>
      </c>
      <c r="E241" s="22" t="s">
        <v>16</v>
      </c>
      <c r="F241" s="1" t="s">
        <v>5</v>
      </c>
      <c r="G241" s="26"/>
      <c r="H241" s="18" t="s">
        <v>27</v>
      </c>
      <c r="I241" s="18"/>
      <c r="J241" s="30"/>
      <c r="K241" s="22" t="str">
        <f>+CONCATENATE(Tablo1710612131618202224[[#This Row],[DOSYA NO]],"_",Tablo1710612131618202224[[#This Row],[MÜŞTERİ ADI]],$P$10,"_",Tablo1710612131618202224[[#This Row],[İŞİN ADI]],"_",Tablo1710612131618202224[[#This Row],[İŞİN TÜRÜ]])</f>
        <v>202601232___AKUSTİK RAPOR &amp; PROJE</v>
      </c>
    </row>
    <row r="242" spans="1:11" s="22" customFormat="1" ht="24.95" customHeight="1" x14ac:dyDescent="0.25">
      <c r="A242" s="21">
        <v>46043</v>
      </c>
      <c r="B242" s="22">
        <v>202601233</v>
      </c>
      <c r="E242" s="22" t="s">
        <v>17</v>
      </c>
      <c r="F242" s="1" t="s">
        <v>5</v>
      </c>
      <c r="G242" s="26"/>
      <c r="H242" s="18" t="s">
        <v>27</v>
      </c>
      <c r="I242" s="18"/>
      <c r="J242" s="30"/>
      <c r="K242" s="22" t="str">
        <f>+CONCATENATE(Tablo1710612131618202224[[#This Row],[DOSYA NO]],"_",Tablo1710612131618202224[[#This Row],[MÜŞTERİ ADI]],$P$10,"_",Tablo1710612131618202224[[#This Row],[İŞİN ADI]],"_",Tablo1710612131618202224[[#This Row],[İŞİN TÜRÜ]])</f>
        <v>202601233___ÖN HESAP SONUÇ FORMU</v>
      </c>
    </row>
    <row r="243" spans="1:11" s="22" customFormat="1" ht="24.95" customHeight="1" x14ac:dyDescent="0.25">
      <c r="A243" s="21">
        <v>46043</v>
      </c>
      <c r="B243" s="22">
        <v>202601234</v>
      </c>
      <c r="E243" s="22" t="s">
        <v>77</v>
      </c>
      <c r="F243" s="1" t="s">
        <v>5</v>
      </c>
      <c r="G243" s="26"/>
      <c r="H243" s="18" t="s">
        <v>22</v>
      </c>
      <c r="I243" s="18"/>
      <c r="J243" s="30"/>
      <c r="K243" s="22" t="str">
        <f>+CONCATENATE(Tablo1710612131618202224[[#This Row],[DOSYA NO]],"_",Tablo1710612131618202224[[#This Row],[MÜŞTERİ ADI]],$P$10,"_",Tablo1710612131618202224[[#This Row],[İŞİN ADI]],"_",Tablo1710612131618202224[[#This Row],[İŞİN TÜRÜ]])</f>
        <v>202601234___EKB ÇİZİM VE ONAYI</v>
      </c>
    </row>
    <row r="244" spans="1:11" s="22" customFormat="1" ht="24.95" customHeight="1" x14ac:dyDescent="0.25">
      <c r="A244" s="21">
        <v>46043</v>
      </c>
      <c r="B244" s="22">
        <v>202601235</v>
      </c>
      <c r="E244" s="22" t="s">
        <v>62</v>
      </c>
      <c r="F244" s="1" t="s">
        <v>5</v>
      </c>
      <c r="G244" s="26"/>
      <c r="H244" s="18" t="s">
        <v>27</v>
      </c>
      <c r="I244" s="18"/>
      <c r="J244" s="30"/>
      <c r="K244" s="22" t="str">
        <f>+CONCATENATE(Tablo1710612131618202224[[#This Row],[DOSYA NO]],"_",Tablo1710612131618202224[[#This Row],[MÜŞTERİ ADI]],$P$10,"_",Tablo1710612131618202224[[#This Row],[İŞİN ADI]],"_",Tablo1710612131618202224[[#This Row],[İŞİN TÜRÜ]])</f>
        <v>202601235___EKB ÇİZİMİ</v>
      </c>
    </row>
    <row r="245" spans="1:11" s="22" customFormat="1" ht="24.95" customHeight="1" x14ac:dyDescent="0.25">
      <c r="A245" s="21">
        <v>46043</v>
      </c>
      <c r="B245" s="22">
        <v>202601236</v>
      </c>
      <c r="E245" s="22" t="s">
        <v>16</v>
      </c>
      <c r="F245" s="1" t="s">
        <v>5</v>
      </c>
      <c r="G245" s="26"/>
      <c r="H245" s="18" t="s">
        <v>27</v>
      </c>
      <c r="I245" s="18"/>
      <c r="J245" s="30"/>
      <c r="K245" s="22" t="str">
        <f>+CONCATENATE(Tablo1710612131618202224[[#This Row],[DOSYA NO]],"_",Tablo1710612131618202224[[#This Row],[MÜŞTERİ ADI]],$P$10,"_",Tablo1710612131618202224[[#This Row],[İŞİN ADI]],"_",Tablo1710612131618202224[[#This Row],[İŞİN TÜRÜ]])</f>
        <v>202601236___AKUSTİK RAPOR &amp; PROJE</v>
      </c>
    </row>
    <row r="246" spans="1:11" s="22" customFormat="1" ht="24.95" customHeight="1" x14ac:dyDescent="0.25">
      <c r="A246" s="21">
        <v>46044</v>
      </c>
      <c r="B246" s="22">
        <v>202601237</v>
      </c>
      <c r="E246" s="22" t="s">
        <v>62</v>
      </c>
      <c r="F246" s="1" t="s">
        <v>5</v>
      </c>
      <c r="G246" s="26"/>
      <c r="H246" s="18" t="s">
        <v>27</v>
      </c>
      <c r="I246" s="18"/>
      <c r="J246" s="30"/>
      <c r="K246" s="22" t="str">
        <f>+CONCATENATE(Tablo1710612131618202224[[#This Row],[DOSYA NO]],"_",Tablo1710612131618202224[[#This Row],[MÜŞTERİ ADI]],$P$10,"_",Tablo1710612131618202224[[#This Row],[İŞİN ADI]],"_",Tablo1710612131618202224[[#This Row],[İŞİN TÜRÜ]])</f>
        <v>202601237___EKB ÇİZİMİ</v>
      </c>
    </row>
    <row r="247" spans="1:11" s="22" customFormat="1" ht="24.95" customHeight="1" x14ac:dyDescent="0.25">
      <c r="A247" s="21">
        <v>46044</v>
      </c>
      <c r="B247" s="22">
        <v>202601238</v>
      </c>
      <c r="E247" s="22" t="s">
        <v>62</v>
      </c>
      <c r="F247" s="1" t="s">
        <v>5</v>
      </c>
      <c r="G247" s="26"/>
      <c r="H247" s="18" t="s">
        <v>27</v>
      </c>
      <c r="I247" s="18"/>
      <c r="J247" s="30"/>
      <c r="K247" s="22" t="str">
        <f>+CONCATENATE(Tablo1710612131618202224[[#This Row],[DOSYA NO]],"_",Tablo1710612131618202224[[#This Row],[MÜŞTERİ ADI]],$P$10,"_",Tablo1710612131618202224[[#This Row],[İŞİN ADI]],"_",Tablo1710612131618202224[[#This Row],[İŞİN TÜRÜ]])</f>
        <v>202601238___EKB ÇİZİMİ</v>
      </c>
    </row>
    <row r="248" spans="1:11" s="22" customFormat="1" ht="24.95" customHeight="1" x14ac:dyDescent="0.25">
      <c r="A248" s="21">
        <v>46044</v>
      </c>
      <c r="B248" s="22">
        <v>202601239</v>
      </c>
      <c r="E248" s="22" t="s">
        <v>16</v>
      </c>
      <c r="F248" s="1" t="s">
        <v>14</v>
      </c>
      <c r="G248" s="26"/>
      <c r="H248" s="18"/>
      <c r="I248" s="18"/>
      <c r="J248" s="30"/>
      <c r="K248" s="22" t="str">
        <f>+CONCATENATE(Tablo1710612131618202224[[#This Row],[DOSYA NO]],"_",Tablo1710612131618202224[[#This Row],[MÜŞTERİ ADI]],$P$10,"_",Tablo1710612131618202224[[#This Row],[İŞİN ADI]],"_",Tablo1710612131618202224[[#This Row],[İŞİN TÜRÜ]])</f>
        <v>202601239___AKUSTİK RAPOR &amp; PROJE</v>
      </c>
    </row>
    <row r="249" spans="1:11" s="22" customFormat="1" ht="24.95" customHeight="1" x14ac:dyDescent="0.25">
      <c r="A249" s="21">
        <v>46044</v>
      </c>
      <c r="B249" s="22">
        <v>202601240</v>
      </c>
      <c r="E249" s="22" t="s">
        <v>16</v>
      </c>
      <c r="F249" s="1" t="s">
        <v>5</v>
      </c>
      <c r="G249" s="26"/>
      <c r="H249" s="18" t="s">
        <v>27</v>
      </c>
      <c r="I249" s="18"/>
      <c r="J249" s="30"/>
      <c r="K249" s="22" t="str">
        <f>+CONCATENATE(Tablo1710612131618202224[[#This Row],[DOSYA NO]],"_",Tablo1710612131618202224[[#This Row],[MÜŞTERİ ADI]],$P$10,"_",Tablo1710612131618202224[[#This Row],[İŞİN ADI]],"_",Tablo1710612131618202224[[#This Row],[İŞİN TÜRÜ]])</f>
        <v>202601240___AKUSTİK RAPOR &amp; PROJE</v>
      </c>
    </row>
    <row r="250" spans="1:11" s="22" customFormat="1" ht="24.95" customHeight="1" x14ac:dyDescent="0.25">
      <c r="A250" s="21">
        <v>46044</v>
      </c>
      <c r="B250" s="22">
        <v>202601241</v>
      </c>
      <c r="E250" s="22" t="s">
        <v>16</v>
      </c>
      <c r="F250" s="1" t="s">
        <v>5</v>
      </c>
      <c r="G250" s="26"/>
      <c r="H250" s="18" t="s">
        <v>27</v>
      </c>
      <c r="I250" s="18"/>
      <c r="J250" s="30"/>
      <c r="K250" s="22" t="str">
        <f>+CONCATENATE(Tablo1710612131618202224[[#This Row],[DOSYA NO]],"_",Tablo1710612131618202224[[#This Row],[MÜŞTERİ ADI]],$P$10,"_",Tablo1710612131618202224[[#This Row],[İŞİN ADI]],"_",Tablo1710612131618202224[[#This Row],[İŞİN TÜRÜ]])</f>
        <v>202601241___AKUSTİK RAPOR &amp; PROJE</v>
      </c>
    </row>
    <row r="251" spans="1:11" s="22" customFormat="1" ht="24.95" customHeight="1" x14ac:dyDescent="0.25">
      <c r="A251" s="21">
        <v>46044</v>
      </c>
      <c r="B251" s="22">
        <v>202601242</v>
      </c>
      <c r="E251" s="22" t="s">
        <v>16</v>
      </c>
      <c r="F251" s="1" t="s">
        <v>5</v>
      </c>
      <c r="G251" s="26"/>
      <c r="H251" s="18" t="s">
        <v>27</v>
      </c>
      <c r="I251" s="18"/>
      <c r="J251" s="30"/>
      <c r="K251" s="22" t="str">
        <f>+CONCATENATE(Tablo1710612131618202224[[#This Row],[DOSYA NO]],"_",Tablo1710612131618202224[[#This Row],[MÜŞTERİ ADI]],$P$10,"_",Tablo1710612131618202224[[#This Row],[İŞİN ADI]],"_",Tablo1710612131618202224[[#This Row],[İŞİN TÜRÜ]])</f>
        <v>202601242___AKUSTİK RAPOR &amp; PROJE</v>
      </c>
    </row>
    <row r="252" spans="1:11" s="22" customFormat="1" ht="24.95" customHeight="1" x14ac:dyDescent="0.25">
      <c r="A252" s="21">
        <v>46044</v>
      </c>
      <c r="B252" s="22">
        <v>202601243</v>
      </c>
      <c r="E252" s="22" t="s">
        <v>62</v>
      </c>
      <c r="F252" s="1" t="s">
        <v>5</v>
      </c>
      <c r="G252" s="26"/>
      <c r="H252" s="18" t="s">
        <v>27</v>
      </c>
      <c r="I252" s="18"/>
      <c r="J252" s="30"/>
      <c r="K252" s="22" t="str">
        <f>+CONCATENATE(Tablo1710612131618202224[[#This Row],[DOSYA NO]],"_",Tablo1710612131618202224[[#This Row],[MÜŞTERİ ADI]],$P$10,"_",Tablo1710612131618202224[[#This Row],[İŞİN ADI]],"_",Tablo1710612131618202224[[#This Row],[İŞİN TÜRÜ]])</f>
        <v>202601243___EKB ÇİZİMİ</v>
      </c>
    </row>
    <row r="253" spans="1:11" s="22" customFormat="1" ht="24.95" customHeight="1" x14ac:dyDescent="0.25">
      <c r="A253" s="21">
        <v>46044</v>
      </c>
      <c r="B253" s="22">
        <v>202601244</v>
      </c>
      <c r="E253" s="22" t="s">
        <v>16</v>
      </c>
      <c r="F253" s="1" t="s">
        <v>5</v>
      </c>
      <c r="G253" s="26"/>
      <c r="H253" s="18" t="s">
        <v>27</v>
      </c>
      <c r="I253" s="18"/>
      <c r="J253" s="30"/>
      <c r="K253" s="22" t="str">
        <f>+CONCATENATE(Tablo1710612131618202224[[#This Row],[DOSYA NO]],"_",Tablo1710612131618202224[[#This Row],[MÜŞTERİ ADI]],$P$10,"_",Tablo1710612131618202224[[#This Row],[İŞİN ADI]],"_",Tablo1710612131618202224[[#This Row],[İŞİN TÜRÜ]])</f>
        <v>202601244___AKUSTİK RAPOR &amp; PROJE</v>
      </c>
    </row>
    <row r="254" spans="1:11" s="22" customFormat="1" ht="24.95" customHeight="1" x14ac:dyDescent="0.25">
      <c r="A254" s="21">
        <v>46044</v>
      </c>
      <c r="B254" s="22">
        <v>202601245</v>
      </c>
      <c r="E254" s="22" t="s">
        <v>17</v>
      </c>
      <c r="F254" s="1" t="s">
        <v>5</v>
      </c>
      <c r="G254" s="26"/>
      <c r="H254" s="18" t="s">
        <v>27</v>
      </c>
      <c r="I254" s="18"/>
      <c r="J254" s="30"/>
      <c r="K254" s="22" t="str">
        <f>+CONCATENATE(Tablo1710612131618202224[[#This Row],[DOSYA NO]],"_",Tablo1710612131618202224[[#This Row],[MÜŞTERİ ADI]],$P$10,"_",Tablo1710612131618202224[[#This Row],[İŞİN ADI]],"_",Tablo1710612131618202224[[#This Row],[İŞİN TÜRÜ]])</f>
        <v>202601245___ÖN HESAP SONUÇ FORMU</v>
      </c>
    </row>
    <row r="255" spans="1:11" s="22" customFormat="1" ht="24.95" customHeight="1" x14ac:dyDescent="0.25">
      <c r="A255" s="21">
        <v>46044</v>
      </c>
      <c r="B255" s="22">
        <v>202601246</v>
      </c>
      <c r="E255" s="22" t="s">
        <v>16</v>
      </c>
      <c r="F255" s="1" t="s">
        <v>5</v>
      </c>
      <c r="G255" s="26"/>
      <c r="H255" s="18" t="s">
        <v>27</v>
      </c>
      <c r="I255" s="18"/>
      <c r="J255" s="30"/>
      <c r="K255" s="22" t="str">
        <f>+CONCATENATE(Tablo1710612131618202224[[#This Row],[DOSYA NO]],"_",Tablo1710612131618202224[[#This Row],[MÜŞTERİ ADI]],$P$10,"_",Tablo1710612131618202224[[#This Row],[İŞİN ADI]],"_",Tablo1710612131618202224[[#This Row],[İŞİN TÜRÜ]])</f>
        <v>202601246___AKUSTİK RAPOR &amp; PROJE</v>
      </c>
    </row>
    <row r="256" spans="1:11" s="22" customFormat="1" ht="24.95" customHeight="1" x14ac:dyDescent="0.25">
      <c r="A256" s="21">
        <v>46044</v>
      </c>
      <c r="B256" s="22">
        <v>202601247</v>
      </c>
      <c r="E256" s="22" t="s">
        <v>77</v>
      </c>
      <c r="F256" s="1" t="s">
        <v>5</v>
      </c>
      <c r="G256" s="26"/>
      <c r="H256" s="18" t="s">
        <v>27</v>
      </c>
      <c r="I256" s="18"/>
      <c r="J256" s="30"/>
      <c r="K256" s="22" t="str">
        <f>+CONCATENATE(Tablo1710612131618202224[[#This Row],[DOSYA NO]],"_",Tablo1710612131618202224[[#This Row],[MÜŞTERİ ADI]],$P$10,"_",Tablo1710612131618202224[[#This Row],[İŞİN ADI]],"_",Tablo1710612131618202224[[#This Row],[İŞİN TÜRÜ]])</f>
        <v>202601247___EKB ÇİZİM VE ONAYI</v>
      </c>
    </row>
    <row r="257" spans="1:11" s="22" customFormat="1" ht="24.95" customHeight="1" x14ac:dyDescent="0.25">
      <c r="A257" s="21">
        <v>46044</v>
      </c>
      <c r="B257" s="22">
        <v>202601248</v>
      </c>
      <c r="E257" s="22" t="s">
        <v>77</v>
      </c>
      <c r="F257" s="1" t="s">
        <v>5</v>
      </c>
      <c r="G257" s="26"/>
      <c r="H257" s="18" t="s">
        <v>27</v>
      </c>
      <c r="I257" s="18"/>
      <c r="J257" s="30"/>
      <c r="K257" s="22" t="str">
        <f>+CONCATENATE(Tablo1710612131618202224[[#This Row],[DOSYA NO]],"_",Tablo1710612131618202224[[#This Row],[MÜŞTERİ ADI]],$P$10,"_",Tablo1710612131618202224[[#This Row],[İŞİN ADI]],"_",Tablo1710612131618202224[[#This Row],[İŞİN TÜRÜ]])</f>
        <v>202601248___EKB ÇİZİM VE ONAYI</v>
      </c>
    </row>
    <row r="258" spans="1:11" s="22" customFormat="1" ht="24.95" customHeight="1" x14ac:dyDescent="0.25">
      <c r="A258" s="21">
        <v>46044</v>
      </c>
      <c r="B258" s="22">
        <v>202601249</v>
      </c>
      <c r="E258" s="22" t="s">
        <v>62</v>
      </c>
      <c r="F258" s="1" t="s">
        <v>5</v>
      </c>
      <c r="G258" s="26"/>
      <c r="H258" s="18" t="s">
        <v>27</v>
      </c>
      <c r="I258" s="18"/>
      <c r="J258" s="30"/>
      <c r="K258" s="22" t="str">
        <f>+CONCATENATE(Tablo1710612131618202224[[#This Row],[DOSYA NO]],"_",Tablo1710612131618202224[[#This Row],[MÜŞTERİ ADI]],$P$10,"_",Tablo1710612131618202224[[#This Row],[İŞİN ADI]],"_",Tablo1710612131618202224[[#This Row],[İŞİN TÜRÜ]])</f>
        <v>202601249___EKB ÇİZİMİ</v>
      </c>
    </row>
    <row r="259" spans="1:11" s="22" customFormat="1" ht="24.95" customHeight="1" x14ac:dyDescent="0.25">
      <c r="A259" s="21">
        <v>46045</v>
      </c>
      <c r="B259" s="22">
        <v>202601250</v>
      </c>
      <c r="E259" s="22" t="s">
        <v>77</v>
      </c>
      <c r="F259" s="1" t="s">
        <v>5</v>
      </c>
      <c r="G259" s="26"/>
      <c r="H259" s="18" t="s">
        <v>27</v>
      </c>
      <c r="I259" s="18"/>
      <c r="J259" s="30"/>
      <c r="K259" s="22" t="str">
        <f>+CONCATENATE(Tablo1710612131618202224[[#This Row],[DOSYA NO]],"_",Tablo1710612131618202224[[#This Row],[MÜŞTERİ ADI]],$P$10,"_",Tablo1710612131618202224[[#This Row],[İŞİN ADI]],"_",Tablo1710612131618202224[[#This Row],[İŞİN TÜRÜ]])</f>
        <v>202601250___EKB ÇİZİM VE ONAYI</v>
      </c>
    </row>
    <row r="260" spans="1:11" s="22" customFormat="1" ht="24.95" customHeight="1" x14ac:dyDescent="0.25">
      <c r="A260" s="21">
        <v>46045</v>
      </c>
      <c r="B260" s="22">
        <v>202601251</v>
      </c>
      <c r="E260" s="22" t="s">
        <v>62</v>
      </c>
      <c r="F260" s="1" t="s">
        <v>5</v>
      </c>
      <c r="G260" s="26"/>
      <c r="H260" s="18" t="s">
        <v>27</v>
      </c>
      <c r="I260" s="18" t="s">
        <v>317</v>
      </c>
      <c r="J260" s="30"/>
      <c r="K260" s="22" t="str">
        <f>+CONCATENATE(Tablo1710612131618202224[[#This Row],[DOSYA NO]],"_",Tablo1710612131618202224[[#This Row],[MÜŞTERİ ADI]],$P$10,"_",Tablo1710612131618202224[[#This Row],[İŞİN ADI]],"_",Tablo1710612131618202224[[#This Row],[İŞİN TÜRÜ]])</f>
        <v>202601251___EKB ÇİZİMİ</v>
      </c>
    </row>
    <row r="261" spans="1:11" s="22" customFormat="1" ht="24.95" customHeight="1" x14ac:dyDescent="0.25">
      <c r="A261" s="21">
        <v>46045</v>
      </c>
      <c r="B261" s="22">
        <v>202601252</v>
      </c>
      <c r="E261" s="22" t="s">
        <v>17</v>
      </c>
      <c r="F261" s="1" t="s">
        <v>5</v>
      </c>
      <c r="G261" s="26"/>
      <c r="H261" s="18" t="s">
        <v>27</v>
      </c>
      <c r="I261" s="18" t="s">
        <v>318</v>
      </c>
      <c r="J261" s="30"/>
      <c r="K261" s="22" t="str">
        <f>+CONCATENATE(Tablo1710612131618202224[[#This Row],[DOSYA NO]],"_",Tablo1710612131618202224[[#This Row],[MÜŞTERİ ADI]],$P$10,"_",Tablo1710612131618202224[[#This Row],[İŞİN ADI]],"_",Tablo1710612131618202224[[#This Row],[İŞİN TÜRÜ]])</f>
        <v>202601252___ÖN HESAP SONUÇ FORMU</v>
      </c>
    </row>
    <row r="262" spans="1:11" s="22" customFormat="1" ht="24.95" customHeight="1" x14ac:dyDescent="0.25">
      <c r="A262" s="21">
        <v>46045</v>
      </c>
      <c r="B262" s="22">
        <v>202601253</v>
      </c>
      <c r="E262" s="22" t="s">
        <v>17</v>
      </c>
      <c r="F262" s="1" t="s">
        <v>5</v>
      </c>
      <c r="G262" s="26"/>
      <c r="H262" s="18" t="s">
        <v>27</v>
      </c>
      <c r="I262" s="18"/>
      <c r="J262" s="30"/>
      <c r="K262" s="22" t="str">
        <f>+CONCATENATE(Tablo1710612131618202224[[#This Row],[DOSYA NO]],"_",Tablo1710612131618202224[[#This Row],[MÜŞTERİ ADI]],$P$10,"_",Tablo1710612131618202224[[#This Row],[İŞİN ADI]],"_",Tablo1710612131618202224[[#This Row],[İŞİN TÜRÜ]])</f>
        <v>202601253___ÖN HESAP SONUÇ FORMU</v>
      </c>
    </row>
    <row r="263" spans="1:11" s="22" customFormat="1" ht="24.95" customHeight="1" x14ac:dyDescent="0.25">
      <c r="A263" s="21">
        <v>46045</v>
      </c>
      <c r="B263" s="22">
        <v>202601254</v>
      </c>
      <c r="E263" s="22" t="s">
        <v>62</v>
      </c>
      <c r="F263" s="1" t="s">
        <v>5</v>
      </c>
      <c r="G263" s="26"/>
      <c r="H263" s="18" t="s">
        <v>27</v>
      </c>
      <c r="I263" s="18"/>
      <c r="J263" s="30"/>
      <c r="K263" s="22" t="str">
        <f>+CONCATENATE(Tablo1710612131618202224[[#This Row],[DOSYA NO]],"_",Tablo1710612131618202224[[#This Row],[MÜŞTERİ ADI]],$P$10,"_",Tablo1710612131618202224[[#This Row],[İŞİN ADI]],"_",Tablo1710612131618202224[[#This Row],[İŞİN TÜRÜ]])</f>
        <v>202601254___EKB ÇİZİMİ</v>
      </c>
    </row>
    <row r="264" spans="1:11" s="22" customFormat="1" ht="24.95" customHeight="1" x14ac:dyDescent="0.25">
      <c r="A264" s="21">
        <v>46045</v>
      </c>
      <c r="B264" s="22">
        <v>202601255</v>
      </c>
      <c r="E264" s="22" t="s">
        <v>62</v>
      </c>
      <c r="F264" s="1" t="s">
        <v>5</v>
      </c>
      <c r="G264" s="26"/>
      <c r="H264" s="18" t="s">
        <v>27</v>
      </c>
      <c r="I264" s="18"/>
      <c r="J264" s="30"/>
      <c r="K264" s="22" t="str">
        <f>+CONCATENATE(Tablo1710612131618202224[[#This Row],[DOSYA NO]],"_",Tablo1710612131618202224[[#This Row],[MÜŞTERİ ADI]],$P$10,"_",Tablo1710612131618202224[[#This Row],[İŞİN ADI]],"_",Tablo1710612131618202224[[#This Row],[İŞİN TÜRÜ]])</f>
        <v>202601255___EKB ÇİZİMİ</v>
      </c>
    </row>
    <row r="265" spans="1:11" s="22" customFormat="1" ht="24.95" customHeight="1" x14ac:dyDescent="0.25">
      <c r="A265" s="21">
        <v>46045</v>
      </c>
      <c r="B265" s="22">
        <v>202601256</v>
      </c>
      <c r="E265" s="22" t="s">
        <v>62</v>
      </c>
      <c r="F265" s="1" t="s">
        <v>5</v>
      </c>
      <c r="G265" s="26"/>
      <c r="H265" s="18" t="s">
        <v>27</v>
      </c>
      <c r="I265" s="18"/>
      <c r="J265" s="30"/>
      <c r="K265" s="22" t="str">
        <f>+CONCATENATE(Tablo1710612131618202224[[#This Row],[DOSYA NO]],"_",Tablo1710612131618202224[[#This Row],[MÜŞTERİ ADI]],$P$10,"_",Tablo1710612131618202224[[#This Row],[İŞİN ADI]],"_",Tablo1710612131618202224[[#This Row],[İŞİN TÜRÜ]])</f>
        <v>202601256___EKB ÇİZİMİ</v>
      </c>
    </row>
    <row r="266" spans="1:11" s="22" customFormat="1" ht="24.95" customHeight="1" x14ac:dyDescent="0.25">
      <c r="A266" s="21">
        <v>46045</v>
      </c>
      <c r="B266" s="22">
        <v>202601257</v>
      </c>
      <c r="E266" s="22" t="s">
        <v>62</v>
      </c>
      <c r="F266" s="1" t="s">
        <v>5</v>
      </c>
      <c r="G266" s="26"/>
      <c r="H266" s="18" t="s">
        <v>27</v>
      </c>
      <c r="I266" s="18"/>
      <c r="J266" s="30"/>
      <c r="K266" s="22" t="str">
        <f>+CONCATENATE(Tablo1710612131618202224[[#This Row],[DOSYA NO]],"_",Tablo1710612131618202224[[#This Row],[MÜŞTERİ ADI]],$P$10,"_",Tablo1710612131618202224[[#This Row],[İŞİN ADI]],"_",Tablo1710612131618202224[[#This Row],[İŞİN TÜRÜ]])</f>
        <v>202601257___EKB ÇİZİMİ</v>
      </c>
    </row>
    <row r="267" spans="1:11" s="22" customFormat="1" ht="24.95" customHeight="1" x14ac:dyDescent="0.25">
      <c r="A267" s="21">
        <v>46045</v>
      </c>
      <c r="B267" s="22">
        <v>202601258</v>
      </c>
      <c r="E267" s="22" t="s">
        <v>62</v>
      </c>
      <c r="F267" s="1" t="s">
        <v>5</v>
      </c>
      <c r="G267" s="26"/>
      <c r="H267" s="18" t="s">
        <v>27</v>
      </c>
      <c r="I267" s="18"/>
      <c r="J267" s="30"/>
      <c r="K267" s="22" t="str">
        <f>+CONCATENATE(Tablo1710612131618202224[[#This Row],[DOSYA NO]],"_",Tablo1710612131618202224[[#This Row],[MÜŞTERİ ADI]],$P$10,"_",Tablo1710612131618202224[[#This Row],[İŞİN ADI]],"_",Tablo1710612131618202224[[#This Row],[İŞİN TÜRÜ]])</f>
        <v>202601258___EKB ÇİZİMİ</v>
      </c>
    </row>
    <row r="268" spans="1:11" s="22" customFormat="1" ht="24.95" customHeight="1" x14ac:dyDescent="0.25">
      <c r="A268" s="21">
        <v>46045</v>
      </c>
      <c r="B268" s="22">
        <v>202601259</v>
      </c>
      <c r="E268" s="22" t="s">
        <v>16</v>
      </c>
      <c r="F268" s="1" t="s">
        <v>5</v>
      </c>
      <c r="G268" s="26"/>
      <c r="H268" s="18" t="s">
        <v>27</v>
      </c>
      <c r="I268" s="18"/>
      <c r="J268" s="30"/>
      <c r="K268" s="22" t="str">
        <f>+CONCATENATE(Tablo1710612131618202224[[#This Row],[DOSYA NO]],"_",Tablo1710612131618202224[[#This Row],[MÜŞTERİ ADI]],$P$10,"_",Tablo1710612131618202224[[#This Row],[İŞİN ADI]],"_",Tablo1710612131618202224[[#This Row],[İŞİN TÜRÜ]])</f>
        <v>202601259___AKUSTİK RAPOR &amp; PROJE</v>
      </c>
    </row>
    <row r="269" spans="1:11" s="22" customFormat="1" ht="24.95" customHeight="1" x14ac:dyDescent="0.25">
      <c r="A269" s="21">
        <v>46045</v>
      </c>
      <c r="B269" s="22">
        <v>202601260</v>
      </c>
      <c r="E269" s="22" t="s">
        <v>16</v>
      </c>
      <c r="F269" s="1" t="s">
        <v>5</v>
      </c>
      <c r="G269" s="26"/>
      <c r="H269" s="18" t="s">
        <v>27</v>
      </c>
      <c r="I269" s="18"/>
      <c r="J269" s="30"/>
      <c r="K269" s="22" t="str">
        <f>+CONCATENATE(Tablo1710612131618202224[[#This Row],[DOSYA NO]],"_",Tablo1710612131618202224[[#This Row],[MÜŞTERİ ADI]],$P$10,"_",Tablo1710612131618202224[[#This Row],[İŞİN ADI]],"_",Tablo1710612131618202224[[#This Row],[İŞİN TÜRÜ]])</f>
        <v>202601260___AKUSTİK RAPOR &amp; PROJE</v>
      </c>
    </row>
    <row r="270" spans="1:11" s="22" customFormat="1" ht="24.95" customHeight="1" x14ac:dyDescent="0.25">
      <c r="A270" s="21">
        <v>46045</v>
      </c>
      <c r="B270" s="22">
        <v>202601261</v>
      </c>
      <c r="E270" s="22" t="s">
        <v>16</v>
      </c>
      <c r="F270" s="1" t="s">
        <v>5</v>
      </c>
      <c r="G270" s="26"/>
      <c r="H270" s="18" t="s">
        <v>27</v>
      </c>
      <c r="I270" s="18"/>
      <c r="J270" s="30"/>
      <c r="K270" s="22" t="str">
        <f>+CONCATENATE(Tablo1710612131618202224[[#This Row],[DOSYA NO]],"_",Tablo1710612131618202224[[#This Row],[MÜŞTERİ ADI]],$P$10,"_",Tablo1710612131618202224[[#This Row],[İŞİN ADI]],"_",Tablo1710612131618202224[[#This Row],[İŞİN TÜRÜ]])</f>
        <v>202601261___AKUSTİK RAPOR &amp; PROJE</v>
      </c>
    </row>
    <row r="271" spans="1:11" s="22" customFormat="1" ht="24.95" customHeight="1" x14ac:dyDescent="0.25">
      <c r="A271" s="21">
        <v>46046</v>
      </c>
      <c r="B271" s="22">
        <v>202601262</v>
      </c>
      <c r="E271" s="22" t="s">
        <v>62</v>
      </c>
      <c r="F271" s="1" t="s">
        <v>5</v>
      </c>
      <c r="G271" s="26"/>
      <c r="H271" s="18" t="s">
        <v>27</v>
      </c>
      <c r="I271" s="18"/>
      <c r="J271" s="30"/>
      <c r="K271" s="22" t="str">
        <f>+CONCATENATE(Tablo1710612131618202224[[#This Row],[DOSYA NO]],"_",Tablo1710612131618202224[[#This Row],[MÜŞTERİ ADI]],$P$10,"_",Tablo1710612131618202224[[#This Row],[İŞİN ADI]],"_",Tablo1710612131618202224[[#This Row],[İŞİN TÜRÜ]])</f>
        <v>202601262___EKB ÇİZİMİ</v>
      </c>
    </row>
    <row r="272" spans="1:11" s="22" customFormat="1" ht="24.95" customHeight="1" x14ac:dyDescent="0.25">
      <c r="A272" s="21">
        <v>46046</v>
      </c>
      <c r="B272" s="22">
        <v>202601263</v>
      </c>
      <c r="E272" s="22" t="s">
        <v>17</v>
      </c>
      <c r="F272" s="1" t="s">
        <v>5</v>
      </c>
      <c r="G272" s="26"/>
      <c r="H272" s="18" t="s">
        <v>27</v>
      </c>
      <c r="I272" s="18"/>
      <c r="J272" s="30"/>
      <c r="K272" s="22" t="str">
        <f>+CONCATENATE(Tablo1710612131618202224[[#This Row],[DOSYA NO]],"_",Tablo1710612131618202224[[#This Row],[MÜŞTERİ ADI]],$P$10,"_",Tablo1710612131618202224[[#This Row],[İŞİN ADI]],"_",Tablo1710612131618202224[[#This Row],[İŞİN TÜRÜ]])</f>
        <v>202601263___ÖN HESAP SONUÇ FORMU</v>
      </c>
    </row>
    <row r="273" spans="1:11" s="22" customFormat="1" ht="24.95" customHeight="1" x14ac:dyDescent="0.25">
      <c r="A273" s="21">
        <v>46046</v>
      </c>
      <c r="B273" s="22">
        <v>202601264</v>
      </c>
      <c r="E273" s="22" t="s">
        <v>16</v>
      </c>
      <c r="F273" s="1" t="s">
        <v>5</v>
      </c>
      <c r="G273" s="26"/>
      <c r="H273" s="18" t="s">
        <v>27</v>
      </c>
      <c r="I273" s="18"/>
      <c r="J273" s="30"/>
      <c r="K273" s="22" t="str">
        <f>+CONCATENATE(Tablo1710612131618202224[[#This Row],[DOSYA NO]],"_",Tablo1710612131618202224[[#This Row],[MÜŞTERİ ADI]],$P$10,"_",Tablo1710612131618202224[[#This Row],[İŞİN ADI]],"_",Tablo1710612131618202224[[#This Row],[İŞİN TÜRÜ]])</f>
        <v>202601264___AKUSTİK RAPOR &amp; PROJE</v>
      </c>
    </row>
    <row r="274" spans="1:11" s="22" customFormat="1" ht="24.95" customHeight="1" x14ac:dyDescent="0.25">
      <c r="A274" s="21">
        <v>46046</v>
      </c>
      <c r="B274" s="22">
        <v>202601265</v>
      </c>
      <c r="E274" s="22" t="s">
        <v>62</v>
      </c>
      <c r="F274" s="1" t="s">
        <v>5</v>
      </c>
      <c r="G274" s="26"/>
      <c r="H274" s="18" t="s">
        <v>27</v>
      </c>
      <c r="I274" s="18"/>
      <c r="J274" s="30"/>
      <c r="K274" s="22" t="str">
        <f>+CONCATENATE(Tablo1710612131618202224[[#This Row],[DOSYA NO]],"_",Tablo1710612131618202224[[#This Row],[MÜŞTERİ ADI]],$P$10,"_",Tablo1710612131618202224[[#This Row],[İŞİN ADI]],"_",Tablo1710612131618202224[[#This Row],[İŞİN TÜRÜ]])</f>
        <v>202601265___EKB ÇİZİMİ</v>
      </c>
    </row>
    <row r="275" spans="1:11" s="22" customFormat="1" ht="24.95" customHeight="1" x14ac:dyDescent="0.25">
      <c r="A275" s="21">
        <v>46046</v>
      </c>
      <c r="B275" s="22">
        <v>202601266</v>
      </c>
      <c r="E275" s="22" t="s">
        <v>62</v>
      </c>
      <c r="F275" s="1" t="s">
        <v>5</v>
      </c>
      <c r="G275" s="26"/>
      <c r="H275" s="18" t="s">
        <v>27</v>
      </c>
      <c r="I275" s="18"/>
      <c r="J275" s="30"/>
      <c r="K275" s="22" t="str">
        <f>+CONCATENATE(Tablo1710612131618202224[[#This Row],[DOSYA NO]],"_",Tablo1710612131618202224[[#This Row],[MÜŞTERİ ADI]],$P$10,"_",Tablo1710612131618202224[[#This Row],[İŞİN ADI]],"_",Tablo1710612131618202224[[#This Row],[İŞİN TÜRÜ]])</f>
        <v>202601266___EKB ÇİZİMİ</v>
      </c>
    </row>
    <row r="276" spans="1:11" s="22" customFormat="1" ht="24.95" customHeight="1" x14ac:dyDescent="0.25">
      <c r="A276" s="21">
        <v>46046</v>
      </c>
      <c r="B276" s="22">
        <v>202601267</v>
      </c>
      <c r="E276" s="22" t="s">
        <v>62</v>
      </c>
      <c r="F276" s="1" t="s">
        <v>5</v>
      </c>
      <c r="G276" s="26"/>
      <c r="H276" s="18" t="s">
        <v>27</v>
      </c>
      <c r="I276" s="18"/>
      <c r="J276" s="30"/>
      <c r="K276" s="22" t="str">
        <f>+CONCATENATE(Tablo1710612131618202224[[#This Row],[DOSYA NO]],"_",Tablo1710612131618202224[[#This Row],[MÜŞTERİ ADI]],$P$10,"_",Tablo1710612131618202224[[#This Row],[İŞİN ADI]],"_",Tablo1710612131618202224[[#This Row],[İŞİN TÜRÜ]])</f>
        <v>202601267___EKB ÇİZİMİ</v>
      </c>
    </row>
    <row r="277" spans="1:11" s="22" customFormat="1" ht="24.95" customHeight="1" x14ac:dyDescent="0.25">
      <c r="A277" s="21">
        <v>46046</v>
      </c>
      <c r="B277" s="22">
        <v>202601268</v>
      </c>
      <c r="E277" s="22" t="s">
        <v>17</v>
      </c>
      <c r="F277" s="1" t="s">
        <v>5</v>
      </c>
      <c r="G277" s="26"/>
      <c r="H277" s="18" t="s">
        <v>27</v>
      </c>
      <c r="I277" s="18"/>
      <c r="J277" s="30"/>
      <c r="K277" s="22" t="str">
        <f>+CONCATENATE(Tablo1710612131618202224[[#This Row],[DOSYA NO]],"_",Tablo1710612131618202224[[#This Row],[MÜŞTERİ ADI]],$P$10,"_",Tablo1710612131618202224[[#This Row],[İŞİN ADI]],"_",Tablo1710612131618202224[[#This Row],[İŞİN TÜRÜ]])</f>
        <v>202601268___ÖN HESAP SONUÇ FORMU</v>
      </c>
    </row>
    <row r="278" spans="1:11" s="22" customFormat="1" ht="24.95" customHeight="1" x14ac:dyDescent="0.25">
      <c r="A278" s="21">
        <v>46046</v>
      </c>
      <c r="B278" s="22">
        <v>202601269</v>
      </c>
      <c r="E278" s="22" t="s">
        <v>62</v>
      </c>
      <c r="F278" s="1" t="s">
        <v>5</v>
      </c>
      <c r="G278" s="26"/>
      <c r="H278" s="18" t="s">
        <v>27</v>
      </c>
      <c r="I278" s="18"/>
      <c r="J278" s="30"/>
      <c r="K278" s="22" t="str">
        <f>+CONCATENATE(Tablo1710612131618202224[[#This Row],[DOSYA NO]],"_",Tablo1710612131618202224[[#This Row],[MÜŞTERİ ADI]],$P$10,"_",Tablo1710612131618202224[[#This Row],[İŞİN ADI]],"_",Tablo1710612131618202224[[#This Row],[İŞİN TÜRÜ]])</f>
        <v>202601269___EKB ÇİZİMİ</v>
      </c>
    </row>
    <row r="279" spans="1:11" s="22" customFormat="1" ht="24.95" customHeight="1" x14ac:dyDescent="0.25">
      <c r="A279" s="21">
        <v>46046</v>
      </c>
      <c r="B279" s="22">
        <v>202601270</v>
      </c>
      <c r="E279" s="22" t="s">
        <v>62</v>
      </c>
      <c r="F279" s="1" t="s">
        <v>5</v>
      </c>
      <c r="G279" s="26"/>
      <c r="H279" s="18" t="s">
        <v>27</v>
      </c>
      <c r="I279" s="18"/>
      <c r="J279" s="30"/>
      <c r="K279" s="22" t="str">
        <f>+CONCATENATE(Tablo1710612131618202224[[#This Row],[DOSYA NO]],"_",Tablo1710612131618202224[[#This Row],[MÜŞTERİ ADI]],$P$10,"_",Tablo1710612131618202224[[#This Row],[İŞİN ADI]],"_",Tablo1710612131618202224[[#This Row],[İŞİN TÜRÜ]])</f>
        <v>202601270___EKB ÇİZİMİ</v>
      </c>
    </row>
    <row r="280" spans="1:11" s="22" customFormat="1" ht="24.95" customHeight="1" x14ac:dyDescent="0.25">
      <c r="A280" s="21">
        <v>46046</v>
      </c>
      <c r="B280" s="22">
        <v>202601271</v>
      </c>
      <c r="E280" s="22" t="s">
        <v>62</v>
      </c>
      <c r="F280" s="1" t="s">
        <v>5</v>
      </c>
      <c r="G280" s="26"/>
      <c r="H280" s="18" t="s">
        <v>27</v>
      </c>
      <c r="I280" s="18"/>
      <c r="J280" s="30"/>
      <c r="K280" s="22" t="str">
        <f>+CONCATENATE(Tablo1710612131618202224[[#This Row],[DOSYA NO]],"_",Tablo1710612131618202224[[#This Row],[MÜŞTERİ ADI]],$P$10,"_",Tablo1710612131618202224[[#This Row],[İŞİN ADI]],"_",Tablo1710612131618202224[[#This Row],[İŞİN TÜRÜ]])</f>
        <v>202601271___EKB ÇİZİMİ</v>
      </c>
    </row>
    <row r="281" spans="1:11" s="22" customFormat="1" ht="24.95" customHeight="1" x14ac:dyDescent="0.25">
      <c r="A281" s="21">
        <v>46046</v>
      </c>
      <c r="B281" s="22">
        <v>202601272</v>
      </c>
      <c r="E281" s="22" t="s">
        <v>62</v>
      </c>
      <c r="F281" s="1" t="s">
        <v>5</v>
      </c>
      <c r="G281" s="26"/>
      <c r="H281" s="18" t="s">
        <v>27</v>
      </c>
      <c r="I281" s="18"/>
      <c r="J281" s="30"/>
      <c r="K281" s="22" t="str">
        <f>+CONCATENATE(Tablo1710612131618202224[[#This Row],[DOSYA NO]],"_",Tablo1710612131618202224[[#This Row],[MÜŞTERİ ADI]],$P$10,"_",Tablo1710612131618202224[[#This Row],[İŞİN ADI]],"_",Tablo1710612131618202224[[#This Row],[İŞİN TÜRÜ]])</f>
        <v>202601272___EKB ÇİZİMİ</v>
      </c>
    </row>
    <row r="282" spans="1:11" s="22" customFormat="1" ht="24.95" customHeight="1" x14ac:dyDescent="0.25">
      <c r="A282" s="21">
        <v>46046</v>
      </c>
      <c r="B282" s="22">
        <v>202601273</v>
      </c>
      <c r="E282" s="22" t="s">
        <v>62</v>
      </c>
      <c r="F282" s="1" t="s">
        <v>5</v>
      </c>
      <c r="G282" s="26"/>
      <c r="H282" s="18" t="s">
        <v>27</v>
      </c>
      <c r="I282" s="18"/>
      <c r="J282" s="30"/>
      <c r="K282" s="22" t="str">
        <f>+CONCATENATE(Tablo1710612131618202224[[#This Row],[DOSYA NO]],"_",Tablo1710612131618202224[[#This Row],[MÜŞTERİ ADI]],$P$10,"_",Tablo1710612131618202224[[#This Row],[İŞİN ADI]],"_",Tablo1710612131618202224[[#This Row],[İŞİN TÜRÜ]])</f>
        <v>202601273___EKB ÇİZİMİ</v>
      </c>
    </row>
    <row r="283" spans="1:11" s="22" customFormat="1" ht="24.95" customHeight="1" x14ac:dyDescent="0.25">
      <c r="A283" s="21">
        <v>46048</v>
      </c>
      <c r="B283" s="22">
        <v>202601274</v>
      </c>
      <c r="E283" s="22" t="s">
        <v>77</v>
      </c>
      <c r="F283" s="1" t="s">
        <v>5</v>
      </c>
      <c r="G283" s="26"/>
      <c r="H283" s="18" t="s">
        <v>27</v>
      </c>
      <c r="I283" s="18"/>
      <c r="J283" s="30"/>
      <c r="K283" s="22" t="str">
        <f>+CONCATENATE(Tablo1710612131618202224[[#This Row],[DOSYA NO]],"_",Tablo1710612131618202224[[#This Row],[MÜŞTERİ ADI]],$P$10,"_",Tablo1710612131618202224[[#This Row],[İŞİN ADI]],"_",Tablo1710612131618202224[[#This Row],[İŞİN TÜRÜ]])</f>
        <v>202601274___EKB ÇİZİM VE ONAYI</v>
      </c>
    </row>
    <row r="284" spans="1:11" s="22" customFormat="1" ht="24.95" customHeight="1" x14ac:dyDescent="0.25">
      <c r="A284" s="21">
        <v>46048</v>
      </c>
      <c r="B284" s="22">
        <v>202601275</v>
      </c>
      <c r="E284" s="22" t="s">
        <v>62</v>
      </c>
      <c r="F284" s="1" t="s">
        <v>5</v>
      </c>
      <c r="G284" s="26"/>
      <c r="H284" s="18" t="s">
        <v>27</v>
      </c>
      <c r="I284" s="18"/>
      <c r="J284" s="30"/>
      <c r="K284" s="22" t="str">
        <f>+CONCATENATE(Tablo1710612131618202224[[#This Row],[DOSYA NO]],"_",Tablo1710612131618202224[[#This Row],[MÜŞTERİ ADI]],$P$10,"_",Tablo1710612131618202224[[#This Row],[İŞİN ADI]],"_",Tablo1710612131618202224[[#This Row],[İŞİN TÜRÜ]])</f>
        <v>202601275___EKB ÇİZİMİ</v>
      </c>
    </row>
    <row r="285" spans="1:11" s="22" customFormat="1" ht="24.95" customHeight="1" x14ac:dyDescent="0.25">
      <c r="A285" s="21">
        <v>46048</v>
      </c>
      <c r="B285" s="22">
        <v>202601276</v>
      </c>
      <c r="E285" s="22" t="s">
        <v>77</v>
      </c>
      <c r="F285" s="1" t="s">
        <v>5</v>
      </c>
      <c r="G285" s="26"/>
      <c r="H285" s="18" t="s">
        <v>27</v>
      </c>
      <c r="I285" s="18"/>
      <c r="J285" s="30"/>
      <c r="K285" s="22" t="str">
        <f>+CONCATENATE(Tablo1710612131618202224[[#This Row],[DOSYA NO]],"_",Tablo1710612131618202224[[#This Row],[MÜŞTERİ ADI]],$P$10,"_",Tablo1710612131618202224[[#This Row],[İŞİN ADI]],"_",Tablo1710612131618202224[[#This Row],[İŞİN TÜRÜ]])</f>
        <v>202601276___EKB ÇİZİM VE ONAYI</v>
      </c>
    </row>
    <row r="286" spans="1:11" s="22" customFormat="1" ht="24.95" customHeight="1" x14ac:dyDescent="0.25">
      <c r="A286" s="21">
        <v>46048</v>
      </c>
      <c r="B286" s="22">
        <v>202601277</v>
      </c>
      <c r="E286" s="22" t="s">
        <v>77</v>
      </c>
      <c r="F286" s="1" t="s">
        <v>5</v>
      </c>
      <c r="G286" s="26"/>
      <c r="H286" s="18" t="s">
        <v>27</v>
      </c>
      <c r="I286" s="18"/>
      <c r="J286" s="30"/>
      <c r="K286" s="22" t="str">
        <f>+CONCATENATE(Tablo1710612131618202224[[#This Row],[DOSYA NO]],"_",Tablo1710612131618202224[[#This Row],[MÜŞTERİ ADI]],$P$10,"_",Tablo1710612131618202224[[#This Row],[İŞİN ADI]],"_",Tablo1710612131618202224[[#This Row],[İŞİN TÜRÜ]])</f>
        <v>202601277___EKB ÇİZİM VE ONAYI</v>
      </c>
    </row>
    <row r="287" spans="1:11" s="22" customFormat="1" ht="24.95" customHeight="1" x14ac:dyDescent="0.25">
      <c r="A287" s="21">
        <v>46048</v>
      </c>
      <c r="B287" s="22">
        <v>202601278</v>
      </c>
      <c r="E287" s="22" t="s">
        <v>62</v>
      </c>
      <c r="F287" s="1" t="s">
        <v>5</v>
      </c>
      <c r="G287" s="26"/>
      <c r="H287" s="18" t="s">
        <v>27</v>
      </c>
      <c r="I287" s="18"/>
      <c r="J287" s="30"/>
      <c r="K287" s="22" t="str">
        <f>+CONCATENATE(Tablo1710612131618202224[[#This Row],[DOSYA NO]],"_",Tablo1710612131618202224[[#This Row],[MÜŞTERİ ADI]],$P$10,"_",Tablo1710612131618202224[[#This Row],[İŞİN ADI]],"_",Tablo1710612131618202224[[#This Row],[İŞİN TÜRÜ]])</f>
        <v>202601278___EKB ÇİZİMİ</v>
      </c>
    </row>
    <row r="288" spans="1:11" s="22" customFormat="1" ht="24.95" customHeight="1" x14ac:dyDescent="0.25">
      <c r="A288" s="21">
        <v>46049</v>
      </c>
      <c r="B288" s="22">
        <v>202601279</v>
      </c>
      <c r="E288" s="22" t="s">
        <v>62</v>
      </c>
      <c r="F288" s="1" t="s">
        <v>5</v>
      </c>
      <c r="G288" s="26"/>
      <c r="H288" s="18" t="s">
        <v>27</v>
      </c>
      <c r="I288" s="18"/>
      <c r="J288" s="30"/>
      <c r="K288" s="22" t="str">
        <f>+CONCATENATE(Tablo1710612131618202224[[#This Row],[DOSYA NO]],"_",Tablo1710612131618202224[[#This Row],[MÜŞTERİ ADI]],$P$10,"_",Tablo1710612131618202224[[#This Row],[İŞİN ADI]],"_",Tablo1710612131618202224[[#This Row],[İŞİN TÜRÜ]])</f>
        <v>202601279___EKB ÇİZİMİ</v>
      </c>
    </row>
    <row r="289" spans="1:11" s="22" customFormat="1" ht="24.95" customHeight="1" x14ac:dyDescent="0.25">
      <c r="A289" s="21">
        <v>46049</v>
      </c>
      <c r="B289" s="22">
        <v>202601280</v>
      </c>
      <c r="E289" s="22" t="s">
        <v>17</v>
      </c>
      <c r="F289" s="1" t="s">
        <v>5</v>
      </c>
      <c r="G289" s="26"/>
      <c r="H289" s="18" t="s">
        <v>27</v>
      </c>
      <c r="I289" s="18"/>
      <c r="J289" s="30"/>
      <c r="K289" s="22" t="str">
        <f>+CONCATENATE(Tablo1710612131618202224[[#This Row],[DOSYA NO]],"_",Tablo1710612131618202224[[#This Row],[MÜŞTERİ ADI]],$P$10,"_",Tablo1710612131618202224[[#This Row],[İŞİN ADI]],"_",Tablo1710612131618202224[[#This Row],[İŞİN TÜRÜ]])</f>
        <v>202601280___ÖN HESAP SONUÇ FORMU</v>
      </c>
    </row>
    <row r="290" spans="1:11" s="22" customFormat="1" ht="24.95" customHeight="1" x14ac:dyDescent="0.25">
      <c r="A290" s="21">
        <v>46049</v>
      </c>
      <c r="B290" s="22">
        <v>202601281</v>
      </c>
      <c r="E290" s="22" t="s">
        <v>62</v>
      </c>
      <c r="F290" s="1" t="s">
        <v>5</v>
      </c>
      <c r="G290" s="26"/>
      <c r="H290" s="18" t="s">
        <v>27</v>
      </c>
      <c r="I290" s="18"/>
      <c r="J290" s="30"/>
      <c r="K290" s="22" t="str">
        <f>+CONCATENATE(Tablo1710612131618202224[[#This Row],[DOSYA NO]],"_",Tablo1710612131618202224[[#This Row],[MÜŞTERİ ADI]],$P$10,"_",Tablo1710612131618202224[[#This Row],[İŞİN ADI]],"_",Tablo1710612131618202224[[#This Row],[İŞİN TÜRÜ]])</f>
        <v>202601281___EKB ÇİZİMİ</v>
      </c>
    </row>
    <row r="291" spans="1:11" s="22" customFormat="1" ht="24.95" customHeight="1" x14ac:dyDescent="0.25">
      <c r="A291" s="21">
        <v>46049</v>
      </c>
      <c r="B291" s="22">
        <v>202601282</v>
      </c>
      <c r="E291" s="22" t="s">
        <v>17</v>
      </c>
      <c r="F291" s="1" t="s">
        <v>5</v>
      </c>
      <c r="G291" s="26"/>
      <c r="H291" s="18" t="s">
        <v>27</v>
      </c>
      <c r="I291" s="18"/>
      <c r="J291" s="30"/>
      <c r="K291" s="22" t="str">
        <f>+CONCATENATE(Tablo1710612131618202224[[#This Row],[DOSYA NO]],"_",Tablo1710612131618202224[[#This Row],[MÜŞTERİ ADI]],$P$10,"_",Tablo1710612131618202224[[#This Row],[İŞİN ADI]],"_",Tablo1710612131618202224[[#This Row],[İŞİN TÜRÜ]])</f>
        <v>202601282___ÖN HESAP SONUÇ FORMU</v>
      </c>
    </row>
    <row r="292" spans="1:11" s="22" customFormat="1" ht="24.95" customHeight="1" x14ac:dyDescent="0.25">
      <c r="A292" s="21">
        <v>46049</v>
      </c>
      <c r="B292" s="22">
        <v>202601283</v>
      </c>
      <c r="E292" s="22" t="s">
        <v>77</v>
      </c>
      <c r="F292" s="1" t="s">
        <v>5</v>
      </c>
      <c r="G292" s="26"/>
      <c r="H292" s="18" t="s">
        <v>27</v>
      </c>
      <c r="I292" s="18"/>
      <c r="J292" s="30"/>
      <c r="K292" s="22" t="str">
        <f>+CONCATENATE(Tablo1710612131618202224[[#This Row],[DOSYA NO]],"_",Tablo1710612131618202224[[#This Row],[MÜŞTERİ ADI]],$P$10,"_",Tablo1710612131618202224[[#This Row],[İŞİN ADI]],"_",Tablo1710612131618202224[[#This Row],[İŞİN TÜRÜ]])</f>
        <v>202601283___EKB ÇİZİM VE ONAYI</v>
      </c>
    </row>
    <row r="293" spans="1:11" s="22" customFormat="1" ht="24.95" customHeight="1" x14ac:dyDescent="0.25">
      <c r="A293" s="21">
        <v>46049</v>
      </c>
      <c r="B293" s="22">
        <v>202601284</v>
      </c>
      <c r="E293" s="22" t="s">
        <v>77</v>
      </c>
      <c r="F293" s="1" t="s">
        <v>5</v>
      </c>
      <c r="G293" s="26"/>
      <c r="H293" s="18" t="s">
        <v>22</v>
      </c>
      <c r="I293" s="18"/>
      <c r="J293" s="30"/>
      <c r="K293" s="22" t="str">
        <f>+CONCATENATE(Tablo1710612131618202224[[#This Row],[DOSYA NO]],"_",Tablo1710612131618202224[[#This Row],[MÜŞTERİ ADI]],$P$10,"_",Tablo1710612131618202224[[#This Row],[İŞİN ADI]],"_",Tablo1710612131618202224[[#This Row],[İŞİN TÜRÜ]])</f>
        <v>202601284___EKB ÇİZİM VE ONAYI</v>
      </c>
    </row>
    <row r="294" spans="1:11" s="22" customFormat="1" ht="24.95" customHeight="1" x14ac:dyDescent="0.25">
      <c r="A294" s="21">
        <v>46049</v>
      </c>
      <c r="B294" s="22">
        <v>202601285</v>
      </c>
      <c r="E294" s="22" t="s">
        <v>77</v>
      </c>
      <c r="F294" s="1" t="s">
        <v>5</v>
      </c>
      <c r="G294" s="26"/>
      <c r="H294" s="18" t="s">
        <v>22</v>
      </c>
      <c r="I294" s="18"/>
      <c r="J294" s="30"/>
      <c r="K294" s="22" t="str">
        <f>+CONCATENATE(Tablo1710612131618202224[[#This Row],[DOSYA NO]],"_",Tablo1710612131618202224[[#This Row],[MÜŞTERİ ADI]],$P$10,"_",Tablo1710612131618202224[[#This Row],[İŞİN ADI]],"_",Tablo1710612131618202224[[#This Row],[İŞİN TÜRÜ]])</f>
        <v>202601285___EKB ÇİZİM VE ONAYI</v>
      </c>
    </row>
    <row r="295" spans="1:11" s="22" customFormat="1" ht="24.95" customHeight="1" x14ac:dyDescent="0.25">
      <c r="A295" s="21">
        <v>46049</v>
      </c>
      <c r="B295" s="22">
        <v>202601286</v>
      </c>
      <c r="E295" s="22" t="s">
        <v>16</v>
      </c>
      <c r="F295" s="1" t="s">
        <v>5</v>
      </c>
      <c r="G295" s="26"/>
      <c r="H295" s="18" t="s">
        <v>27</v>
      </c>
      <c r="I295" s="18"/>
      <c r="J295" s="30"/>
      <c r="K295" s="22" t="str">
        <f>+CONCATENATE(Tablo1710612131618202224[[#This Row],[DOSYA NO]],"_",Tablo1710612131618202224[[#This Row],[MÜŞTERİ ADI]],$P$10,"_",Tablo1710612131618202224[[#This Row],[İŞİN ADI]],"_",Tablo1710612131618202224[[#This Row],[İŞİN TÜRÜ]])</f>
        <v>202601286___AKUSTİK RAPOR &amp; PROJE</v>
      </c>
    </row>
    <row r="296" spans="1:11" s="22" customFormat="1" ht="24.95" customHeight="1" x14ac:dyDescent="0.25">
      <c r="A296" s="21">
        <v>46049</v>
      </c>
      <c r="B296" s="22">
        <v>202601287</v>
      </c>
      <c r="E296" s="22" t="s">
        <v>62</v>
      </c>
      <c r="F296" s="1" t="s">
        <v>5</v>
      </c>
      <c r="G296" s="26"/>
      <c r="H296" s="18" t="s">
        <v>27</v>
      </c>
      <c r="I296" s="18"/>
      <c r="J296" s="30"/>
      <c r="K296" s="22" t="str">
        <f>+CONCATENATE(Tablo1710612131618202224[[#This Row],[DOSYA NO]],"_",Tablo1710612131618202224[[#This Row],[MÜŞTERİ ADI]],$P$10,"_",Tablo1710612131618202224[[#This Row],[İŞİN ADI]],"_",Tablo1710612131618202224[[#This Row],[İŞİN TÜRÜ]])</f>
        <v>202601287___EKB ÇİZİMİ</v>
      </c>
    </row>
    <row r="297" spans="1:11" s="22" customFormat="1" ht="24.95" customHeight="1" x14ac:dyDescent="0.25">
      <c r="A297" s="21">
        <v>46049</v>
      </c>
      <c r="B297" s="22">
        <v>202601288</v>
      </c>
      <c r="E297" s="22" t="s">
        <v>62</v>
      </c>
      <c r="F297" s="1" t="s">
        <v>5</v>
      </c>
      <c r="G297" s="26"/>
      <c r="H297" s="18" t="s">
        <v>27</v>
      </c>
      <c r="I297" s="18"/>
      <c r="J297" s="30"/>
      <c r="K297" s="22" t="str">
        <f>+CONCATENATE(Tablo1710612131618202224[[#This Row],[DOSYA NO]],"_",Tablo1710612131618202224[[#This Row],[MÜŞTERİ ADI]],$P$10,"_",Tablo1710612131618202224[[#This Row],[İŞİN ADI]],"_",Tablo1710612131618202224[[#This Row],[İŞİN TÜRÜ]])</f>
        <v>202601288___EKB ÇİZİMİ</v>
      </c>
    </row>
    <row r="298" spans="1:11" s="22" customFormat="1" ht="24.95" customHeight="1" x14ac:dyDescent="0.25">
      <c r="A298" s="21">
        <v>46049</v>
      </c>
      <c r="B298" s="22">
        <v>202601289</v>
      </c>
      <c r="E298" s="22" t="s">
        <v>62</v>
      </c>
      <c r="F298" s="1" t="s">
        <v>5</v>
      </c>
      <c r="G298" s="26"/>
      <c r="H298" s="18" t="s">
        <v>27</v>
      </c>
      <c r="I298" s="18"/>
      <c r="J298" s="30"/>
      <c r="K298" s="22" t="str">
        <f>+CONCATENATE(Tablo1710612131618202224[[#This Row],[DOSYA NO]],"_",Tablo1710612131618202224[[#This Row],[MÜŞTERİ ADI]],$P$10,"_",Tablo1710612131618202224[[#This Row],[İŞİN ADI]],"_",Tablo1710612131618202224[[#This Row],[İŞİN TÜRÜ]])</f>
        <v>202601289___EKB ÇİZİMİ</v>
      </c>
    </row>
    <row r="299" spans="1:11" s="22" customFormat="1" ht="24.95" customHeight="1" x14ac:dyDescent="0.25">
      <c r="A299" s="21">
        <v>46049</v>
      </c>
      <c r="B299" s="22">
        <v>202601290</v>
      </c>
      <c r="E299" s="22" t="s">
        <v>62</v>
      </c>
      <c r="F299" s="1" t="s">
        <v>5</v>
      </c>
      <c r="G299" s="26"/>
      <c r="H299" s="18" t="s">
        <v>27</v>
      </c>
      <c r="I299" s="18"/>
      <c r="J299" s="30"/>
      <c r="K299" s="22" t="str">
        <f>+CONCATENATE(Tablo1710612131618202224[[#This Row],[DOSYA NO]],"_",Tablo1710612131618202224[[#This Row],[MÜŞTERİ ADI]],$P$10,"_",Tablo1710612131618202224[[#This Row],[İŞİN ADI]],"_",Tablo1710612131618202224[[#This Row],[İŞİN TÜRÜ]])</f>
        <v>202601290___EKB ÇİZİMİ</v>
      </c>
    </row>
    <row r="300" spans="1:11" s="22" customFormat="1" ht="24.95" customHeight="1" x14ac:dyDescent="0.25">
      <c r="A300" s="21">
        <v>46049</v>
      </c>
      <c r="B300" s="22">
        <v>202601291</v>
      </c>
      <c r="E300" s="22" t="s">
        <v>62</v>
      </c>
      <c r="F300" s="1" t="s">
        <v>5</v>
      </c>
      <c r="G300" s="26"/>
      <c r="H300" s="18" t="s">
        <v>27</v>
      </c>
      <c r="I300" s="18"/>
      <c r="J300" s="30"/>
      <c r="K300" s="22" t="str">
        <f>+CONCATENATE(Tablo1710612131618202224[[#This Row],[DOSYA NO]],"_",Tablo1710612131618202224[[#This Row],[MÜŞTERİ ADI]],$P$10,"_",Tablo1710612131618202224[[#This Row],[İŞİN ADI]],"_",Tablo1710612131618202224[[#This Row],[İŞİN TÜRÜ]])</f>
        <v>202601291___EKB ÇİZİMİ</v>
      </c>
    </row>
    <row r="301" spans="1:11" s="22" customFormat="1" ht="24.95" customHeight="1" x14ac:dyDescent="0.25">
      <c r="A301" s="21">
        <v>46049</v>
      </c>
      <c r="B301" s="22">
        <v>202601292</v>
      </c>
      <c r="E301" s="22" t="s">
        <v>62</v>
      </c>
      <c r="F301" s="1" t="s">
        <v>5</v>
      </c>
      <c r="G301" s="26"/>
      <c r="H301" s="18" t="s">
        <v>27</v>
      </c>
      <c r="I301" s="18"/>
      <c r="J301" s="30"/>
      <c r="K301" s="22" t="str">
        <f>+CONCATENATE(Tablo1710612131618202224[[#This Row],[DOSYA NO]],"_",Tablo1710612131618202224[[#This Row],[MÜŞTERİ ADI]],$P$10,"_",Tablo1710612131618202224[[#This Row],[İŞİN ADI]],"_",Tablo1710612131618202224[[#This Row],[İŞİN TÜRÜ]])</f>
        <v>202601292___EKB ÇİZİMİ</v>
      </c>
    </row>
    <row r="302" spans="1:11" s="22" customFormat="1" ht="24.95" customHeight="1" x14ac:dyDescent="0.25">
      <c r="A302" s="21">
        <v>46049</v>
      </c>
      <c r="B302" s="22">
        <v>202601293</v>
      </c>
      <c r="E302" s="22" t="s">
        <v>16</v>
      </c>
      <c r="F302" s="1" t="s">
        <v>5</v>
      </c>
      <c r="G302" s="26"/>
      <c r="H302" s="18" t="s">
        <v>27</v>
      </c>
      <c r="I302" s="18"/>
      <c r="J302" s="30"/>
      <c r="K302" s="22" t="str">
        <f>+CONCATENATE(Tablo1710612131618202224[[#This Row],[DOSYA NO]],"_",Tablo1710612131618202224[[#This Row],[MÜŞTERİ ADI]],$P$10,"_",Tablo1710612131618202224[[#This Row],[İŞİN ADI]],"_",Tablo1710612131618202224[[#This Row],[İŞİN TÜRÜ]])</f>
        <v>202601293___AKUSTİK RAPOR &amp; PROJE</v>
      </c>
    </row>
    <row r="303" spans="1:11" s="22" customFormat="1" ht="24.95" customHeight="1" x14ac:dyDescent="0.25">
      <c r="A303" s="21">
        <v>46049</v>
      </c>
      <c r="B303" s="22">
        <v>202601294</v>
      </c>
      <c r="E303" s="22" t="s">
        <v>62</v>
      </c>
      <c r="F303" s="1" t="s">
        <v>5</v>
      </c>
      <c r="G303" s="26"/>
      <c r="H303" s="18" t="s">
        <v>27</v>
      </c>
      <c r="I303" s="18"/>
      <c r="J303" s="30"/>
      <c r="K303" s="22" t="str">
        <f>+CONCATENATE(Tablo1710612131618202224[[#This Row],[DOSYA NO]],"_",Tablo1710612131618202224[[#This Row],[MÜŞTERİ ADI]],$P$10,"_",Tablo1710612131618202224[[#This Row],[İŞİN ADI]],"_",Tablo1710612131618202224[[#This Row],[İŞİN TÜRÜ]])</f>
        <v>202601294___EKB ÇİZİMİ</v>
      </c>
    </row>
    <row r="304" spans="1:11" s="22" customFormat="1" ht="24.95" customHeight="1" x14ac:dyDescent="0.25">
      <c r="A304" s="21">
        <v>46049</v>
      </c>
      <c r="B304" s="22">
        <v>202601295</v>
      </c>
      <c r="E304" s="22" t="s">
        <v>17</v>
      </c>
      <c r="F304" s="1" t="s">
        <v>5</v>
      </c>
      <c r="G304" s="26"/>
      <c r="H304" s="18" t="s">
        <v>27</v>
      </c>
      <c r="I304" s="18"/>
      <c r="J304" s="30"/>
      <c r="K304" s="22" t="str">
        <f>+CONCATENATE(Tablo1710612131618202224[[#This Row],[DOSYA NO]],"_",Tablo1710612131618202224[[#This Row],[MÜŞTERİ ADI]],$P$10,"_",Tablo1710612131618202224[[#This Row],[İŞİN ADI]],"_",Tablo1710612131618202224[[#This Row],[İŞİN TÜRÜ]])</f>
        <v>202601295___ÖN HESAP SONUÇ FORMU</v>
      </c>
    </row>
    <row r="305" spans="1:11" s="22" customFormat="1" ht="24.95" customHeight="1" x14ac:dyDescent="0.25">
      <c r="A305" s="21">
        <v>46049</v>
      </c>
      <c r="B305" s="22">
        <v>202601296</v>
      </c>
      <c r="E305" s="22" t="s">
        <v>62</v>
      </c>
      <c r="F305" s="1" t="s">
        <v>5</v>
      </c>
      <c r="G305" s="26"/>
      <c r="H305" s="18" t="s">
        <v>27</v>
      </c>
      <c r="I305" s="18"/>
      <c r="J305" s="30"/>
      <c r="K305" s="22" t="str">
        <f>+CONCATENATE(Tablo1710612131618202224[[#This Row],[DOSYA NO]],"_",Tablo1710612131618202224[[#This Row],[MÜŞTERİ ADI]],$P$10,"_",Tablo1710612131618202224[[#This Row],[İŞİN ADI]],"_",Tablo1710612131618202224[[#This Row],[İŞİN TÜRÜ]])</f>
        <v>202601296___EKB ÇİZİMİ</v>
      </c>
    </row>
    <row r="306" spans="1:11" s="22" customFormat="1" ht="24.95" customHeight="1" x14ac:dyDescent="0.25">
      <c r="A306" s="21">
        <v>46049</v>
      </c>
      <c r="B306" s="22">
        <v>202601297</v>
      </c>
      <c r="E306" s="22" t="s">
        <v>16</v>
      </c>
      <c r="F306" s="1" t="s">
        <v>5</v>
      </c>
      <c r="G306" s="26"/>
      <c r="H306" s="18" t="s">
        <v>27</v>
      </c>
      <c r="I306" s="18"/>
      <c r="J306" s="30"/>
      <c r="K306" s="22" t="str">
        <f>+CONCATENATE(Tablo1710612131618202224[[#This Row],[DOSYA NO]],"_",Tablo1710612131618202224[[#This Row],[MÜŞTERİ ADI]],$P$10,"_",Tablo1710612131618202224[[#This Row],[İŞİN ADI]],"_",Tablo1710612131618202224[[#This Row],[İŞİN TÜRÜ]])</f>
        <v>202601297___AKUSTİK RAPOR &amp; PROJE</v>
      </c>
    </row>
    <row r="307" spans="1:11" s="22" customFormat="1" ht="24.95" customHeight="1" x14ac:dyDescent="0.25">
      <c r="A307" s="21">
        <v>46049</v>
      </c>
      <c r="B307" s="22">
        <v>202601298</v>
      </c>
      <c r="E307" s="22" t="s">
        <v>16</v>
      </c>
      <c r="F307" s="1" t="s">
        <v>5</v>
      </c>
      <c r="G307" s="26"/>
      <c r="H307" s="18" t="s">
        <v>27</v>
      </c>
      <c r="I307" s="18"/>
      <c r="J307" s="30"/>
      <c r="K307" s="22" t="str">
        <f>+CONCATENATE(Tablo1710612131618202224[[#This Row],[DOSYA NO]],"_",Tablo1710612131618202224[[#This Row],[MÜŞTERİ ADI]],$P$10,"_",Tablo1710612131618202224[[#This Row],[İŞİN ADI]],"_",Tablo1710612131618202224[[#This Row],[İŞİN TÜRÜ]])</f>
        <v>202601298___AKUSTİK RAPOR &amp; PROJE</v>
      </c>
    </row>
    <row r="308" spans="1:11" s="22" customFormat="1" ht="24.95" customHeight="1" x14ac:dyDescent="0.25">
      <c r="A308" s="21">
        <v>46049</v>
      </c>
      <c r="B308" s="22">
        <v>202601299</v>
      </c>
      <c r="E308" s="22" t="s">
        <v>62</v>
      </c>
      <c r="F308" s="1" t="s">
        <v>5</v>
      </c>
      <c r="G308" s="26"/>
      <c r="H308" s="18" t="s">
        <v>27</v>
      </c>
      <c r="I308" s="18"/>
      <c r="J308" s="30"/>
      <c r="K308" s="22" t="str">
        <f>+CONCATENATE(Tablo1710612131618202224[[#This Row],[DOSYA NO]],"_",Tablo1710612131618202224[[#This Row],[MÜŞTERİ ADI]],$P$10,"_",Tablo1710612131618202224[[#This Row],[İŞİN ADI]],"_",Tablo1710612131618202224[[#This Row],[İŞİN TÜRÜ]])</f>
        <v>202601299___EKB ÇİZİMİ</v>
      </c>
    </row>
    <row r="309" spans="1:11" s="22" customFormat="1" ht="24.95" customHeight="1" x14ac:dyDescent="0.25">
      <c r="A309" s="21">
        <v>46049</v>
      </c>
      <c r="B309" s="22">
        <v>202601300</v>
      </c>
      <c r="E309" s="22" t="s">
        <v>62</v>
      </c>
      <c r="F309" s="1" t="s">
        <v>5</v>
      </c>
      <c r="G309" s="26"/>
      <c r="H309" s="18" t="s">
        <v>27</v>
      </c>
      <c r="I309" s="18"/>
      <c r="J309" s="30"/>
      <c r="K309" s="22" t="str">
        <f>+CONCATENATE(Tablo1710612131618202224[[#This Row],[DOSYA NO]],"_",Tablo1710612131618202224[[#This Row],[MÜŞTERİ ADI]],$P$10,"_",Tablo1710612131618202224[[#This Row],[İŞİN ADI]],"_",Tablo1710612131618202224[[#This Row],[İŞİN TÜRÜ]])</f>
        <v>202601300___EKB ÇİZİMİ</v>
      </c>
    </row>
    <row r="310" spans="1:11" s="22" customFormat="1" ht="24.95" customHeight="1" x14ac:dyDescent="0.25">
      <c r="A310" s="21">
        <v>46049</v>
      </c>
      <c r="B310" s="22">
        <v>202601301</v>
      </c>
      <c r="E310" s="22" t="s">
        <v>17</v>
      </c>
      <c r="F310" s="1" t="s">
        <v>5</v>
      </c>
      <c r="G310" s="26"/>
      <c r="H310" s="18" t="s">
        <v>27</v>
      </c>
      <c r="I310" s="18"/>
      <c r="J310" s="30"/>
      <c r="K310" s="22" t="str">
        <f>+CONCATENATE(Tablo1710612131618202224[[#This Row],[DOSYA NO]],"_",Tablo1710612131618202224[[#This Row],[MÜŞTERİ ADI]],$P$10,"_",Tablo1710612131618202224[[#This Row],[İŞİN ADI]],"_",Tablo1710612131618202224[[#This Row],[İŞİN TÜRÜ]])</f>
        <v>202601301___ÖN HESAP SONUÇ FORMU</v>
      </c>
    </row>
    <row r="311" spans="1:11" s="22" customFormat="1" ht="24.95" customHeight="1" x14ac:dyDescent="0.25">
      <c r="A311" s="21">
        <v>46049</v>
      </c>
      <c r="B311" s="22">
        <v>202601302</v>
      </c>
      <c r="E311" s="22" t="s">
        <v>16</v>
      </c>
      <c r="F311" s="1" t="s">
        <v>5</v>
      </c>
      <c r="G311" s="26"/>
      <c r="H311" s="18" t="s">
        <v>27</v>
      </c>
      <c r="I311" s="18"/>
      <c r="J311" s="30"/>
      <c r="K311" s="22" t="str">
        <f>+CONCATENATE(Tablo1710612131618202224[[#This Row],[DOSYA NO]],"_",Tablo1710612131618202224[[#This Row],[MÜŞTERİ ADI]],$P$10,"_",Tablo1710612131618202224[[#This Row],[İŞİN ADI]],"_",Tablo1710612131618202224[[#This Row],[İŞİN TÜRÜ]])</f>
        <v>202601302___AKUSTİK RAPOR &amp; PROJE</v>
      </c>
    </row>
    <row r="312" spans="1:11" s="22" customFormat="1" ht="24.95" customHeight="1" x14ac:dyDescent="0.25">
      <c r="A312" s="21">
        <v>46049</v>
      </c>
      <c r="B312" s="22">
        <v>202601303</v>
      </c>
      <c r="E312" s="22" t="s">
        <v>16</v>
      </c>
      <c r="F312" s="1" t="s">
        <v>5</v>
      </c>
      <c r="G312" s="26"/>
      <c r="H312" s="18" t="s">
        <v>27</v>
      </c>
      <c r="I312" s="18"/>
      <c r="J312" s="30"/>
      <c r="K312" s="22" t="str">
        <f>+CONCATENATE(Tablo1710612131618202224[[#This Row],[DOSYA NO]],"_",Tablo1710612131618202224[[#This Row],[MÜŞTERİ ADI]],$P$10,"_",Tablo1710612131618202224[[#This Row],[İŞİN ADI]],"_",Tablo1710612131618202224[[#This Row],[İŞİN TÜRÜ]])</f>
        <v>202601303___AKUSTİK RAPOR &amp; PROJE</v>
      </c>
    </row>
    <row r="313" spans="1:11" s="22" customFormat="1" ht="24.95" customHeight="1" x14ac:dyDescent="0.25">
      <c r="A313" s="21">
        <v>46049</v>
      </c>
      <c r="B313" s="22">
        <v>202601304</v>
      </c>
      <c r="E313" s="22" t="s">
        <v>16</v>
      </c>
      <c r="F313" s="1" t="s">
        <v>5</v>
      </c>
      <c r="G313" s="26"/>
      <c r="H313" s="18" t="s">
        <v>27</v>
      </c>
      <c r="I313" s="18"/>
      <c r="J313" s="30"/>
      <c r="K313" s="22" t="str">
        <f>+CONCATENATE(Tablo1710612131618202224[[#This Row],[DOSYA NO]],"_",Tablo1710612131618202224[[#This Row],[MÜŞTERİ ADI]],$P$10,"_",Tablo1710612131618202224[[#This Row],[İŞİN ADI]],"_",Tablo1710612131618202224[[#This Row],[İŞİN TÜRÜ]])</f>
        <v>202601304___AKUSTİK RAPOR &amp; PROJE</v>
      </c>
    </row>
    <row r="314" spans="1:11" s="22" customFormat="1" ht="24.95" customHeight="1" x14ac:dyDescent="0.25">
      <c r="A314" s="21">
        <v>46049</v>
      </c>
      <c r="B314" s="22">
        <v>202601305</v>
      </c>
      <c r="E314" s="22" t="s">
        <v>62</v>
      </c>
      <c r="F314" s="1" t="s">
        <v>5</v>
      </c>
      <c r="G314" s="26"/>
      <c r="H314" s="18" t="s">
        <v>27</v>
      </c>
      <c r="I314" s="18"/>
      <c r="J314" s="30"/>
      <c r="K314" s="22" t="str">
        <f>+CONCATENATE(Tablo1710612131618202224[[#This Row],[DOSYA NO]],"_",Tablo1710612131618202224[[#This Row],[MÜŞTERİ ADI]],$P$10,"_",Tablo1710612131618202224[[#This Row],[İŞİN ADI]],"_",Tablo1710612131618202224[[#This Row],[İŞİN TÜRÜ]])</f>
        <v>202601305___EKB ÇİZİMİ</v>
      </c>
    </row>
    <row r="315" spans="1:11" s="22" customFormat="1" ht="24.95" customHeight="1" x14ac:dyDescent="0.25">
      <c r="A315" s="21">
        <v>46049</v>
      </c>
      <c r="B315" s="22">
        <v>202601306</v>
      </c>
      <c r="E315" s="22" t="s">
        <v>62</v>
      </c>
      <c r="F315" s="1" t="s">
        <v>5</v>
      </c>
      <c r="G315" s="26"/>
      <c r="H315" s="18" t="s">
        <v>27</v>
      </c>
      <c r="I315" s="18"/>
      <c r="J315" s="30"/>
      <c r="K315" s="22" t="str">
        <f>+CONCATENATE(Tablo1710612131618202224[[#This Row],[DOSYA NO]],"_",Tablo1710612131618202224[[#This Row],[MÜŞTERİ ADI]],$P$10,"_",Tablo1710612131618202224[[#This Row],[İŞİN ADI]],"_",Tablo1710612131618202224[[#This Row],[İŞİN TÜRÜ]])</f>
        <v>202601306___EKB ÇİZİMİ</v>
      </c>
    </row>
    <row r="316" spans="1:11" s="22" customFormat="1" ht="24.95" customHeight="1" x14ac:dyDescent="0.25">
      <c r="A316" s="21">
        <v>46049</v>
      </c>
      <c r="B316" s="22">
        <v>202601307</v>
      </c>
      <c r="E316" s="22" t="s">
        <v>17</v>
      </c>
      <c r="F316" s="1" t="s">
        <v>5</v>
      </c>
      <c r="G316" s="26"/>
      <c r="H316" s="18" t="s">
        <v>27</v>
      </c>
      <c r="I316" s="18"/>
      <c r="J316" s="30"/>
      <c r="K316" s="22" t="str">
        <f>+CONCATENATE(Tablo1710612131618202224[[#This Row],[DOSYA NO]],"_",Tablo1710612131618202224[[#This Row],[MÜŞTERİ ADI]],$P$10,"_",Tablo1710612131618202224[[#This Row],[İŞİN ADI]],"_",Tablo1710612131618202224[[#This Row],[İŞİN TÜRÜ]])</f>
        <v>202601307___ÖN HESAP SONUÇ FORMU</v>
      </c>
    </row>
    <row r="317" spans="1:11" s="22" customFormat="1" ht="24.95" customHeight="1" x14ac:dyDescent="0.25">
      <c r="A317" s="21">
        <v>46049</v>
      </c>
      <c r="B317" s="22">
        <v>202601308</v>
      </c>
      <c r="E317" s="22" t="s">
        <v>62</v>
      </c>
      <c r="F317" s="1" t="s">
        <v>5</v>
      </c>
      <c r="G317" s="26"/>
      <c r="H317" s="18" t="s">
        <v>27</v>
      </c>
      <c r="I317" s="18"/>
      <c r="J317" s="30"/>
      <c r="K317" s="22" t="str">
        <f>+CONCATENATE(Tablo1710612131618202224[[#This Row],[DOSYA NO]],"_",Tablo1710612131618202224[[#This Row],[MÜŞTERİ ADI]],$P$10,"_",Tablo1710612131618202224[[#This Row],[İŞİN ADI]],"_",Tablo1710612131618202224[[#This Row],[İŞİN TÜRÜ]])</f>
        <v>202601308___EKB ÇİZİMİ</v>
      </c>
    </row>
    <row r="318" spans="1:11" s="22" customFormat="1" ht="24.95" customHeight="1" x14ac:dyDescent="0.25">
      <c r="A318" s="21">
        <v>46049</v>
      </c>
      <c r="B318" s="22">
        <v>202601309</v>
      </c>
      <c r="E318" s="22" t="s">
        <v>62</v>
      </c>
      <c r="F318" s="1" t="s">
        <v>5</v>
      </c>
      <c r="G318" s="26"/>
      <c r="H318" s="18" t="s">
        <v>27</v>
      </c>
      <c r="I318" s="18"/>
      <c r="J318" s="30"/>
      <c r="K318" s="22" t="str">
        <f>+CONCATENATE(Tablo1710612131618202224[[#This Row],[DOSYA NO]],"_",Tablo1710612131618202224[[#This Row],[MÜŞTERİ ADI]],$P$10,"_",Tablo1710612131618202224[[#This Row],[İŞİN ADI]],"_",Tablo1710612131618202224[[#This Row],[İŞİN TÜRÜ]])</f>
        <v>202601309___EKB ÇİZİMİ</v>
      </c>
    </row>
    <row r="319" spans="1:11" s="22" customFormat="1" ht="24.95" customHeight="1" x14ac:dyDescent="0.25">
      <c r="A319" s="21">
        <v>46049</v>
      </c>
      <c r="B319" s="22">
        <v>202601310</v>
      </c>
      <c r="E319" s="22" t="s">
        <v>62</v>
      </c>
      <c r="F319" s="1" t="s">
        <v>5</v>
      </c>
      <c r="G319" s="26"/>
      <c r="H319" s="18" t="s">
        <v>27</v>
      </c>
      <c r="I319" s="18" t="s">
        <v>278</v>
      </c>
      <c r="J319" s="30"/>
      <c r="K319" s="22" t="str">
        <f>+CONCATENATE(Tablo1710612131618202224[[#This Row],[DOSYA NO]],"_",Tablo1710612131618202224[[#This Row],[MÜŞTERİ ADI]],$P$10,"_",Tablo1710612131618202224[[#This Row],[İŞİN ADI]],"_",Tablo1710612131618202224[[#This Row],[İŞİN TÜRÜ]])</f>
        <v>202601310___EKB ÇİZİMİ</v>
      </c>
    </row>
    <row r="320" spans="1:11" s="22" customFormat="1" ht="24.95" customHeight="1" x14ac:dyDescent="0.25">
      <c r="A320" s="21">
        <v>46049</v>
      </c>
      <c r="B320" s="22">
        <v>202601311</v>
      </c>
      <c r="E320" s="22" t="s">
        <v>62</v>
      </c>
      <c r="F320" s="1" t="s">
        <v>5</v>
      </c>
      <c r="G320" s="26"/>
      <c r="H320" s="18" t="s">
        <v>27</v>
      </c>
      <c r="I320" s="18"/>
      <c r="J320" s="30"/>
      <c r="K320" s="22" t="str">
        <f>+CONCATENATE(Tablo1710612131618202224[[#This Row],[DOSYA NO]],"_",Tablo1710612131618202224[[#This Row],[MÜŞTERİ ADI]],$P$10,"_",Tablo1710612131618202224[[#This Row],[İŞİN ADI]],"_",Tablo1710612131618202224[[#This Row],[İŞİN TÜRÜ]])</f>
        <v>202601311___EKB ÇİZİMİ</v>
      </c>
    </row>
    <row r="321" spans="1:11" s="22" customFormat="1" ht="24.95" customHeight="1" x14ac:dyDescent="0.25">
      <c r="A321" s="21">
        <v>46049</v>
      </c>
      <c r="B321" s="22">
        <v>202601312</v>
      </c>
      <c r="E321" s="22" t="s">
        <v>77</v>
      </c>
      <c r="F321" s="1" t="s">
        <v>5</v>
      </c>
      <c r="G321" s="26"/>
      <c r="H321" s="18" t="s">
        <v>27</v>
      </c>
      <c r="I321" s="18"/>
      <c r="J321" s="30" t="s">
        <v>299</v>
      </c>
      <c r="K321" s="22" t="str">
        <f>+CONCATENATE(Tablo1710612131618202224[[#This Row],[DOSYA NO]],"_",Tablo1710612131618202224[[#This Row],[MÜŞTERİ ADI]],$P$10,"_",Tablo1710612131618202224[[#This Row],[İŞİN ADI]],"_",Tablo1710612131618202224[[#This Row],[İŞİN TÜRÜ]])</f>
        <v>202601312___EKB ÇİZİM VE ONAYI</v>
      </c>
    </row>
    <row r="322" spans="1:11" s="22" customFormat="1" ht="24.95" customHeight="1" x14ac:dyDescent="0.25">
      <c r="A322" s="21">
        <v>46050</v>
      </c>
      <c r="B322" s="22">
        <v>202601313</v>
      </c>
      <c r="E322" s="22" t="s">
        <v>62</v>
      </c>
      <c r="F322" s="1" t="s">
        <v>5</v>
      </c>
      <c r="G322" s="26"/>
      <c r="H322" s="18" t="s">
        <v>27</v>
      </c>
      <c r="I322" s="18"/>
      <c r="J322" s="30"/>
      <c r="K322" s="22" t="str">
        <f>+CONCATENATE(Tablo1710612131618202224[[#This Row],[DOSYA NO]],"_",Tablo1710612131618202224[[#This Row],[MÜŞTERİ ADI]],$P$10,"_",Tablo1710612131618202224[[#This Row],[İŞİN ADI]],"_",Tablo1710612131618202224[[#This Row],[İŞİN TÜRÜ]])</f>
        <v>202601313___EKB ÇİZİMİ</v>
      </c>
    </row>
    <row r="323" spans="1:11" s="22" customFormat="1" ht="24.95" customHeight="1" x14ac:dyDescent="0.25">
      <c r="A323" s="21">
        <v>46050</v>
      </c>
      <c r="B323" s="22">
        <v>202601314</v>
      </c>
      <c r="E323" s="22" t="s">
        <v>16</v>
      </c>
      <c r="F323" s="1" t="s">
        <v>5</v>
      </c>
      <c r="G323" s="26"/>
      <c r="H323" s="18" t="s">
        <v>27</v>
      </c>
      <c r="I323" s="18"/>
      <c r="J323" s="30"/>
      <c r="K323" s="22" t="str">
        <f>+CONCATENATE(Tablo1710612131618202224[[#This Row],[DOSYA NO]],"_",Tablo1710612131618202224[[#This Row],[MÜŞTERİ ADI]],$P$10,"_",Tablo1710612131618202224[[#This Row],[İŞİN ADI]],"_",Tablo1710612131618202224[[#This Row],[İŞİN TÜRÜ]])</f>
        <v>202601314___AKUSTİK RAPOR &amp; PROJE</v>
      </c>
    </row>
    <row r="324" spans="1:11" s="22" customFormat="1" ht="24.95" customHeight="1" x14ac:dyDescent="0.25">
      <c r="A324" s="21">
        <v>46050</v>
      </c>
      <c r="B324" s="22">
        <v>202601315</v>
      </c>
      <c r="E324" s="22" t="s">
        <v>62</v>
      </c>
      <c r="F324" s="1" t="s">
        <v>5</v>
      </c>
      <c r="G324" s="26"/>
      <c r="H324" s="18" t="s">
        <v>27</v>
      </c>
      <c r="I324" s="18"/>
      <c r="J324" s="30"/>
      <c r="K324" s="22" t="str">
        <f>+CONCATENATE(Tablo1710612131618202224[[#This Row],[DOSYA NO]],"_",Tablo1710612131618202224[[#This Row],[MÜŞTERİ ADI]],$P$10,"_",Tablo1710612131618202224[[#This Row],[İŞİN ADI]],"_",Tablo1710612131618202224[[#This Row],[İŞİN TÜRÜ]])</f>
        <v>202601315___EKB ÇİZİMİ</v>
      </c>
    </row>
    <row r="325" spans="1:11" s="22" customFormat="1" ht="24.95" customHeight="1" x14ac:dyDescent="0.25">
      <c r="A325" s="21">
        <v>46050</v>
      </c>
      <c r="B325" s="22">
        <v>202601316</v>
      </c>
      <c r="E325" s="22" t="s">
        <v>79</v>
      </c>
      <c r="F325" s="1" t="s">
        <v>5</v>
      </c>
      <c r="G325" s="26"/>
      <c r="H325" s="18" t="s">
        <v>27</v>
      </c>
      <c r="I325" s="18"/>
      <c r="J325" s="30"/>
      <c r="K325" s="22" t="str">
        <f>+CONCATENATE(Tablo1710612131618202224[[#This Row],[DOSYA NO]],"_",Tablo1710612131618202224[[#This Row],[MÜŞTERİ ADI]],$P$10,"_",Tablo1710612131618202224[[#This Row],[İŞİN ADI]],"_",Tablo1710612131618202224[[#This Row],[İŞİN TÜRÜ]])</f>
        <v>202601316___EKB ONAYI</v>
      </c>
    </row>
    <row r="326" spans="1:11" s="22" customFormat="1" ht="24.95" customHeight="1" x14ac:dyDescent="0.25">
      <c r="A326" s="21">
        <v>46050</v>
      </c>
      <c r="B326" s="22">
        <v>202601317</v>
      </c>
      <c r="E326" s="22" t="s">
        <v>16</v>
      </c>
      <c r="F326" s="1" t="s">
        <v>5</v>
      </c>
      <c r="G326" s="26"/>
      <c r="H326" s="18" t="s">
        <v>22</v>
      </c>
      <c r="I326" s="18"/>
      <c r="J326" s="30"/>
      <c r="K326" s="22" t="str">
        <f>+CONCATENATE(Tablo1710612131618202224[[#This Row],[DOSYA NO]],"_",Tablo1710612131618202224[[#This Row],[MÜŞTERİ ADI]],$P$10,"_",Tablo1710612131618202224[[#This Row],[İŞİN ADI]],"_",Tablo1710612131618202224[[#This Row],[İŞİN TÜRÜ]])</f>
        <v>202601317___AKUSTİK RAPOR &amp; PROJE</v>
      </c>
    </row>
    <row r="327" spans="1:11" s="22" customFormat="1" ht="24.95" customHeight="1" x14ac:dyDescent="0.25">
      <c r="A327" s="21">
        <v>46050</v>
      </c>
      <c r="B327" s="22">
        <v>202601318</v>
      </c>
      <c r="E327" s="22" t="s">
        <v>16</v>
      </c>
      <c r="F327" s="1" t="s">
        <v>5</v>
      </c>
      <c r="G327" s="26"/>
      <c r="H327" s="18" t="s">
        <v>27</v>
      </c>
      <c r="I327" s="18"/>
      <c r="J327" s="30"/>
      <c r="K327" s="22" t="str">
        <f>+CONCATENATE(Tablo1710612131618202224[[#This Row],[DOSYA NO]],"_",Tablo1710612131618202224[[#This Row],[MÜŞTERİ ADI]],$P$10,"_",Tablo1710612131618202224[[#This Row],[İŞİN ADI]],"_",Tablo1710612131618202224[[#This Row],[İŞİN TÜRÜ]])</f>
        <v>202601318___AKUSTİK RAPOR &amp; PROJE</v>
      </c>
    </row>
    <row r="328" spans="1:11" s="22" customFormat="1" ht="24.95" customHeight="1" x14ac:dyDescent="0.25">
      <c r="A328" s="21">
        <v>46050</v>
      </c>
      <c r="B328" s="22">
        <v>202601319</v>
      </c>
      <c r="E328" s="22" t="s">
        <v>16</v>
      </c>
      <c r="F328" s="1" t="s">
        <v>5</v>
      </c>
      <c r="G328" s="26"/>
      <c r="H328" s="18" t="s">
        <v>27</v>
      </c>
      <c r="I328" s="18"/>
      <c r="J328" s="30"/>
      <c r="K328" s="22" t="str">
        <f>+CONCATENATE(Tablo1710612131618202224[[#This Row],[DOSYA NO]],"_",Tablo1710612131618202224[[#This Row],[MÜŞTERİ ADI]],$P$10,"_",Tablo1710612131618202224[[#This Row],[İŞİN ADI]],"_",Tablo1710612131618202224[[#This Row],[İŞİN TÜRÜ]])</f>
        <v>202601319___AKUSTİK RAPOR &amp; PROJE</v>
      </c>
    </row>
    <row r="329" spans="1:11" s="22" customFormat="1" ht="24.95" customHeight="1" x14ac:dyDescent="0.25">
      <c r="A329" s="21">
        <v>46050</v>
      </c>
      <c r="B329" s="22">
        <v>202601320</v>
      </c>
      <c r="E329" s="22" t="s">
        <v>62</v>
      </c>
      <c r="F329" s="1" t="s">
        <v>5</v>
      </c>
      <c r="G329" s="26"/>
      <c r="H329" s="18" t="s">
        <v>27</v>
      </c>
      <c r="I329" s="18"/>
      <c r="J329" s="30"/>
      <c r="K329" s="22" t="str">
        <f>+CONCATENATE(Tablo1710612131618202224[[#This Row],[DOSYA NO]],"_",Tablo1710612131618202224[[#This Row],[MÜŞTERİ ADI]],$P$10,"_",Tablo1710612131618202224[[#This Row],[İŞİN ADI]],"_",Tablo1710612131618202224[[#This Row],[İŞİN TÜRÜ]])</f>
        <v>202601320___EKB ÇİZİMİ</v>
      </c>
    </row>
    <row r="330" spans="1:11" s="22" customFormat="1" ht="24.95" customHeight="1" x14ac:dyDescent="0.25">
      <c r="A330" s="21">
        <v>46050</v>
      </c>
      <c r="B330" s="22">
        <v>202601321</v>
      </c>
      <c r="E330" s="22" t="s">
        <v>62</v>
      </c>
      <c r="F330" s="1" t="s">
        <v>5</v>
      </c>
      <c r="G330" s="26"/>
      <c r="H330" s="18" t="s">
        <v>27</v>
      </c>
      <c r="I330" s="18"/>
      <c r="J330" s="30"/>
      <c r="K330" s="22" t="str">
        <f>+CONCATENATE(Tablo1710612131618202224[[#This Row],[DOSYA NO]],"_",Tablo1710612131618202224[[#This Row],[MÜŞTERİ ADI]],$P$10,"_",Tablo1710612131618202224[[#This Row],[İŞİN ADI]],"_",Tablo1710612131618202224[[#This Row],[İŞİN TÜRÜ]])</f>
        <v>202601321___EKB ÇİZİMİ</v>
      </c>
    </row>
    <row r="331" spans="1:11" s="22" customFormat="1" ht="24.95" customHeight="1" x14ac:dyDescent="0.25">
      <c r="A331" s="21">
        <v>46050</v>
      </c>
      <c r="B331" s="22">
        <v>202601322</v>
      </c>
      <c r="E331" s="22" t="s">
        <v>77</v>
      </c>
      <c r="F331" s="1" t="s">
        <v>5</v>
      </c>
      <c r="G331" s="26"/>
      <c r="H331" s="18" t="s">
        <v>22</v>
      </c>
      <c r="I331" s="76">
        <v>5325129721</v>
      </c>
      <c r="J331" s="30"/>
      <c r="K331" s="22" t="str">
        <f>+CONCATENATE(Tablo1710612131618202224[[#This Row],[DOSYA NO]],"_",Tablo1710612131618202224[[#This Row],[MÜŞTERİ ADI]],$P$10,"_",Tablo1710612131618202224[[#This Row],[İŞİN ADI]],"_",Tablo1710612131618202224[[#This Row],[İŞİN TÜRÜ]])</f>
        <v>202601322___EKB ÇİZİM VE ONAYI</v>
      </c>
    </row>
    <row r="332" spans="1:11" s="22" customFormat="1" ht="24.95" customHeight="1" x14ac:dyDescent="0.25">
      <c r="A332" s="21">
        <v>46050</v>
      </c>
      <c r="B332" s="22">
        <v>202601323</v>
      </c>
      <c r="E332" s="22" t="s">
        <v>17</v>
      </c>
      <c r="F332" s="1" t="s">
        <v>5</v>
      </c>
      <c r="G332" s="26"/>
      <c r="H332" s="18" t="s">
        <v>27</v>
      </c>
      <c r="I332" s="18"/>
      <c r="J332" s="30"/>
      <c r="K332" s="22" t="str">
        <f>+CONCATENATE(Tablo1710612131618202224[[#This Row],[DOSYA NO]],"_",Tablo1710612131618202224[[#This Row],[MÜŞTERİ ADI]],$P$10,"_",Tablo1710612131618202224[[#This Row],[İŞİN ADI]],"_",Tablo1710612131618202224[[#This Row],[İŞİN TÜRÜ]])</f>
        <v>202601323___ÖN HESAP SONUÇ FORMU</v>
      </c>
    </row>
    <row r="333" spans="1:11" s="22" customFormat="1" ht="24.95" customHeight="1" x14ac:dyDescent="0.25">
      <c r="A333" s="21">
        <v>46050</v>
      </c>
      <c r="B333" s="22">
        <v>202601324</v>
      </c>
      <c r="E333" s="22" t="s">
        <v>17</v>
      </c>
      <c r="F333" s="1" t="s">
        <v>5</v>
      </c>
      <c r="G333" s="26"/>
      <c r="H333" s="18" t="s">
        <v>27</v>
      </c>
      <c r="I333" s="18"/>
      <c r="J333" s="30"/>
      <c r="K333" s="22" t="str">
        <f>+CONCATENATE(Tablo1710612131618202224[[#This Row],[DOSYA NO]],"_",Tablo1710612131618202224[[#This Row],[MÜŞTERİ ADI]],$P$10,"_",Tablo1710612131618202224[[#This Row],[İŞİN ADI]],"_",Tablo1710612131618202224[[#This Row],[İŞİN TÜRÜ]])</f>
        <v>202601324___ÖN HESAP SONUÇ FORMU</v>
      </c>
    </row>
    <row r="334" spans="1:11" s="22" customFormat="1" ht="24.95" customHeight="1" x14ac:dyDescent="0.25">
      <c r="A334" s="21">
        <v>46050</v>
      </c>
      <c r="B334" s="22">
        <v>202601325</v>
      </c>
      <c r="E334" s="22" t="s">
        <v>62</v>
      </c>
      <c r="F334" s="1" t="s">
        <v>5</v>
      </c>
      <c r="G334" s="26"/>
      <c r="H334" s="18" t="s">
        <v>27</v>
      </c>
      <c r="I334" s="18"/>
      <c r="J334" s="30"/>
      <c r="K334" s="22" t="str">
        <f>+CONCATENATE(Tablo1710612131618202224[[#This Row],[DOSYA NO]],"_",Tablo1710612131618202224[[#This Row],[MÜŞTERİ ADI]],$P$10,"_",Tablo1710612131618202224[[#This Row],[İŞİN ADI]],"_",Tablo1710612131618202224[[#This Row],[İŞİN TÜRÜ]])</f>
        <v>202601325___EKB ÇİZİMİ</v>
      </c>
    </row>
    <row r="335" spans="1:11" s="22" customFormat="1" ht="24.95" customHeight="1" x14ac:dyDescent="0.25">
      <c r="A335" s="21">
        <v>46050</v>
      </c>
      <c r="B335" s="22">
        <v>202601326</v>
      </c>
      <c r="E335" s="22" t="s">
        <v>79</v>
      </c>
      <c r="F335" s="1" t="s">
        <v>5</v>
      </c>
      <c r="G335" s="26"/>
      <c r="H335" s="18" t="s">
        <v>27</v>
      </c>
      <c r="I335" s="18"/>
      <c r="J335" s="30"/>
      <c r="K335" s="22" t="str">
        <f>+CONCATENATE(Tablo1710612131618202224[[#This Row],[DOSYA NO]],"_",Tablo1710612131618202224[[#This Row],[MÜŞTERİ ADI]],$P$10,"_",Tablo1710612131618202224[[#This Row],[İŞİN ADI]],"_",Tablo1710612131618202224[[#This Row],[İŞİN TÜRÜ]])</f>
        <v>202601326___EKB ONAYI</v>
      </c>
    </row>
    <row r="336" spans="1:11" s="22" customFormat="1" ht="24.95" customHeight="1" x14ac:dyDescent="0.25">
      <c r="A336" s="21">
        <v>46050</v>
      </c>
      <c r="B336" s="22">
        <v>202601327</v>
      </c>
      <c r="E336" s="22" t="s">
        <v>62</v>
      </c>
      <c r="F336" s="1" t="s">
        <v>5</v>
      </c>
      <c r="G336" s="26"/>
      <c r="H336" s="18" t="s">
        <v>27</v>
      </c>
      <c r="I336" s="18"/>
      <c r="J336" s="30"/>
      <c r="K336" s="22" t="str">
        <f>+CONCATENATE(Tablo1710612131618202224[[#This Row],[DOSYA NO]],"_",Tablo1710612131618202224[[#This Row],[MÜŞTERİ ADI]],$P$10,"_",Tablo1710612131618202224[[#This Row],[İŞİN ADI]],"_",Tablo1710612131618202224[[#This Row],[İŞİN TÜRÜ]])</f>
        <v>202601327___EKB ÇİZİMİ</v>
      </c>
    </row>
    <row r="337" spans="1:11" s="22" customFormat="1" ht="24.95" customHeight="1" x14ac:dyDescent="0.25">
      <c r="A337" s="21">
        <v>46050</v>
      </c>
      <c r="B337" s="22">
        <v>202601328</v>
      </c>
      <c r="E337" s="22" t="s">
        <v>62</v>
      </c>
      <c r="F337" s="1" t="s">
        <v>5</v>
      </c>
      <c r="G337" s="26"/>
      <c r="H337" s="18" t="s">
        <v>27</v>
      </c>
      <c r="I337" s="18"/>
      <c r="J337" s="30"/>
      <c r="K337" s="22" t="str">
        <f>+CONCATENATE(Tablo1710612131618202224[[#This Row],[DOSYA NO]],"_",Tablo1710612131618202224[[#This Row],[MÜŞTERİ ADI]],$P$10,"_",Tablo1710612131618202224[[#This Row],[İŞİN ADI]],"_",Tablo1710612131618202224[[#This Row],[İŞİN TÜRÜ]])</f>
        <v>202601328___EKB ÇİZİMİ</v>
      </c>
    </row>
    <row r="338" spans="1:11" s="22" customFormat="1" ht="24.95" customHeight="1" x14ac:dyDescent="0.25">
      <c r="A338" s="21">
        <v>46050</v>
      </c>
      <c r="B338" s="22">
        <v>202601329</v>
      </c>
      <c r="E338" s="22" t="s">
        <v>62</v>
      </c>
      <c r="F338" s="1" t="s">
        <v>5</v>
      </c>
      <c r="G338" s="26"/>
      <c r="H338" s="18" t="s">
        <v>27</v>
      </c>
      <c r="I338" s="18"/>
      <c r="J338" s="30"/>
      <c r="K338" s="22" t="str">
        <f>+CONCATENATE(Tablo1710612131618202224[[#This Row],[DOSYA NO]],"_",Tablo1710612131618202224[[#This Row],[MÜŞTERİ ADI]],$P$10,"_",Tablo1710612131618202224[[#This Row],[İŞİN ADI]],"_",Tablo1710612131618202224[[#This Row],[İŞİN TÜRÜ]])</f>
        <v>202601329___EKB ÇİZİMİ</v>
      </c>
    </row>
    <row r="339" spans="1:11" s="22" customFormat="1" ht="24.95" customHeight="1" x14ac:dyDescent="0.25">
      <c r="A339" s="21">
        <v>46051</v>
      </c>
      <c r="B339" s="22">
        <v>202601330</v>
      </c>
      <c r="E339" s="22" t="s">
        <v>62</v>
      </c>
      <c r="F339" s="1" t="s">
        <v>5</v>
      </c>
      <c r="G339" s="26"/>
      <c r="H339" s="18" t="s">
        <v>27</v>
      </c>
      <c r="I339" s="18"/>
      <c r="J339" s="30"/>
      <c r="K339" s="22" t="str">
        <f>+CONCATENATE(Tablo1710612131618202224[[#This Row],[DOSYA NO]],"_",Tablo1710612131618202224[[#This Row],[MÜŞTERİ ADI]],$P$10,"_",Tablo1710612131618202224[[#This Row],[İŞİN ADI]],"_",Tablo1710612131618202224[[#This Row],[İŞİN TÜRÜ]])</f>
        <v>202601330___EKB ÇİZİMİ</v>
      </c>
    </row>
    <row r="340" spans="1:11" s="22" customFormat="1" ht="24.95" customHeight="1" x14ac:dyDescent="0.25">
      <c r="A340" s="21">
        <v>46051</v>
      </c>
      <c r="B340" s="22">
        <v>202601331</v>
      </c>
      <c r="E340" s="22" t="s">
        <v>79</v>
      </c>
      <c r="F340" s="1" t="s">
        <v>5</v>
      </c>
      <c r="G340" s="26"/>
      <c r="H340" s="18" t="s">
        <v>27</v>
      </c>
      <c r="I340" s="18"/>
      <c r="J340" s="30"/>
      <c r="K340" s="22" t="str">
        <f>+CONCATENATE(Tablo1710612131618202224[[#This Row],[DOSYA NO]],"_",Tablo1710612131618202224[[#This Row],[MÜŞTERİ ADI]],$P$10,"_",Tablo1710612131618202224[[#This Row],[İŞİN ADI]],"_",Tablo1710612131618202224[[#This Row],[İŞİN TÜRÜ]])</f>
        <v>202601331___EKB ONAYI</v>
      </c>
    </row>
    <row r="341" spans="1:11" s="22" customFormat="1" ht="24.95" customHeight="1" x14ac:dyDescent="0.25">
      <c r="A341" s="21">
        <v>46051</v>
      </c>
      <c r="B341" s="22">
        <v>202601332</v>
      </c>
      <c r="E341" s="22" t="s">
        <v>62</v>
      </c>
      <c r="F341" s="1" t="s">
        <v>5</v>
      </c>
      <c r="G341" s="26"/>
      <c r="H341" s="18" t="s">
        <v>27</v>
      </c>
      <c r="I341" s="18"/>
      <c r="J341" s="30"/>
      <c r="K341" s="22" t="str">
        <f>+CONCATENATE(Tablo1710612131618202224[[#This Row],[DOSYA NO]],"_",Tablo1710612131618202224[[#This Row],[MÜŞTERİ ADI]],$P$10,"_",Tablo1710612131618202224[[#This Row],[İŞİN ADI]],"_",Tablo1710612131618202224[[#This Row],[İŞİN TÜRÜ]])</f>
        <v>202601332___EKB ÇİZİMİ</v>
      </c>
    </row>
    <row r="342" spans="1:11" s="22" customFormat="1" ht="24.95" customHeight="1" x14ac:dyDescent="0.25">
      <c r="A342" s="21">
        <v>46051</v>
      </c>
      <c r="B342" s="22">
        <v>202601333</v>
      </c>
      <c r="E342" s="22" t="s">
        <v>17</v>
      </c>
      <c r="F342" s="1" t="s">
        <v>5</v>
      </c>
      <c r="G342" s="26"/>
      <c r="H342" s="18" t="s">
        <v>27</v>
      </c>
      <c r="I342" s="18"/>
      <c r="J342" s="30"/>
      <c r="K342" s="22" t="str">
        <f>+CONCATENATE(Tablo1710612131618202224[[#This Row],[DOSYA NO]],"_",Tablo1710612131618202224[[#This Row],[MÜŞTERİ ADI]],$P$10,"_",Tablo1710612131618202224[[#This Row],[İŞİN ADI]],"_",Tablo1710612131618202224[[#This Row],[İŞİN TÜRÜ]])</f>
        <v>202601333___ÖN HESAP SONUÇ FORMU</v>
      </c>
    </row>
    <row r="343" spans="1:11" s="22" customFormat="1" ht="24.95" customHeight="1" x14ac:dyDescent="0.25">
      <c r="A343" s="21">
        <v>46051</v>
      </c>
      <c r="B343" s="22">
        <v>202601334</v>
      </c>
      <c r="E343" s="22" t="s">
        <v>17</v>
      </c>
      <c r="F343" s="1" t="s">
        <v>5</v>
      </c>
      <c r="G343" s="26"/>
      <c r="H343" s="18" t="s">
        <v>27</v>
      </c>
      <c r="I343" s="18"/>
      <c r="J343" s="30"/>
      <c r="K343" s="22" t="str">
        <f>+CONCATENATE(Tablo1710612131618202224[[#This Row],[DOSYA NO]],"_",Tablo1710612131618202224[[#This Row],[MÜŞTERİ ADI]],$P$10,"_",Tablo1710612131618202224[[#This Row],[İŞİN ADI]],"_",Tablo1710612131618202224[[#This Row],[İŞİN TÜRÜ]])</f>
        <v>202601334___ÖN HESAP SONUÇ FORMU</v>
      </c>
    </row>
    <row r="344" spans="1:11" s="22" customFormat="1" ht="24.95" customHeight="1" x14ac:dyDescent="0.25">
      <c r="A344" s="21">
        <v>46051</v>
      </c>
      <c r="B344" s="22">
        <v>202601335</v>
      </c>
      <c r="E344" s="22" t="s">
        <v>17</v>
      </c>
      <c r="F344" s="1" t="s">
        <v>5</v>
      </c>
      <c r="G344" s="26"/>
      <c r="H344" s="18" t="s">
        <v>27</v>
      </c>
      <c r="I344" s="18"/>
      <c r="J344" s="30"/>
      <c r="K344" s="22" t="str">
        <f>+CONCATENATE(Tablo1710612131618202224[[#This Row],[DOSYA NO]],"_",Tablo1710612131618202224[[#This Row],[MÜŞTERİ ADI]],$P$10,"_",Tablo1710612131618202224[[#This Row],[İŞİN ADI]],"_",Tablo1710612131618202224[[#This Row],[İŞİN TÜRÜ]])</f>
        <v>202601335___ÖN HESAP SONUÇ FORMU</v>
      </c>
    </row>
    <row r="345" spans="1:11" s="22" customFormat="1" ht="24.95" customHeight="1" x14ac:dyDescent="0.25">
      <c r="A345" s="21">
        <v>46051</v>
      </c>
      <c r="B345" s="22">
        <v>202601336</v>
      </c>
      <c r="E345" s="22" t="s">
        <v>17</v>
      </c>
      <c r="F345" s="1" t="s">
        <v>5</v>
      </c>
      <c r="G345" s="26"/>
      <c r="H345" s="18" t="s">
        <v>27</v>
      </c>
      <c r="I345" s="18"/>
      <c r="J345" s="30"/>
      <c r="K345" s="22" t="str">
        <f>+CONCATENATE(Tablo1710612131618202224[[#This Row],[DOSYA NO]],"_",Tablo1710612131618202224[[#This Row],[MÜŞTERİ ADI]],$P$10,"_",Tablo1710612131618202224[[#This Row],[İŞİN ADI]],"_",Tablo1710612131618202224[[#This Row],[İŞİN TÜRÜ]])</f>
        <v>202601336___ÖN HESAP SONUÇ FORMU</v>
      </c>
    </row>
    <row r="346" spans="1:11" s="22" customFormat="1" ht="24.95" customHeight="1" x14ac:dyDescent="0.25">
      <c r="A346" s="21">
        <v>46051</v>
      </c>
      <c r="B346" s="22">
        <v>202601337</v>
      </c>
      <c r="E346" s="22" t="s">
        <v>17</v>
      </c>
      <c r="F346" s="1" t="s">
        <v>5</v>
      </c>
      <c r="G346" s="26"/>
      <c r="H346" s="18" t="s">
        <v>27</v>
      </c>
      <c r="I346" s="18"/>
      <c r="J346" s="30"/>
      <c r="K346" s="22" t="str">
        <f>+CONCATENATE(Tablo1710612131618202224[[#This Row],[DOSYA NO]],"_",Tablo1710612131618202224[[#This Row],[MÜŞTERİ ADI]],$P$10,"_",Tablo1710612131618202224[[#This Row],[İŞİN ADI]],"_",Tablo1710612131618202224[[#This Row],[İŞİN TÜRÜ]])</f>
        <v>202601337___ÖN HESAP SONUÇ FORMU</v>
      </c>
    </row>
    <row r="347" spans="1:11" s="22" customFormat="1" ht="24.95" customHeight="1" x14ac:dyDescent="0.25">
      <c r="A347" s="21">
        <v>46051</v>
      </c>
      <c r="B347" s="22">
        <v>202601338</v>
      </c>
      <c r="E347" s="22" t="s">
        <v>17</v>
      </c>
      <c r="F347" s="1" t="s">
        <v>5</v>
      </c>
      <c r="G347" s="26"/>
      <c r="H347" s="18" t="s">
        <v>27</v>
      </c>
      <c r="I347" s="18"/>
      <c r="J347" s="30"/>
      <c r="K347" s="22" t="str">
        <f>+CONCATENATE(Tablo1710612131618202224[[#This Row],[DOSYA NO]],"_",Tablo1710612131618202224[[#This Row],[MÜŞTERİ ADI]],$P$10,"_",Tablo1710612131618202224[[#This Row],[İŞİN ADI]],"_",Tablo1710612131618202224[[#This Row],[İŞİN TÜRÜ]])</f>
        <v>202601338___ÖN HESAP SONUÇ FORMU</v>
      </c>
    </row>
    <row r="348" spans="1:11" s="22" customFormat="1" ht="24.95" customHeight="1" x14ac:dyDescent="0.25">
      <c r="A348" s="21">
        <v>46051</v>
      </c>
      <c r="B348" s="22">
        <v>202601339</v>
      </c>
      <c r="E348" s="22" t="s">
        <v>17</v>
      </c>
      <c r="F348" s="1" t="s">
        <v>5</v>
      </c>
      <c r="G348" s="26"/>
      <c r="H348" s="18" t="s">
        <v>27</v>
      </c>
      <c r="I348" s="18"/>
      <c r="J348" s="30"/>
      <c r="K348" s="22" t="str">
        <f>+CONCATENATE(Tablo1710612131618202224[[#This Row],[DOSYA NO]],"_",Tablo1710612131618202224[[#This Row],[MÜŞTERİ ADI]],$P$10,"_",Tablo1710612131618202224[[#This Row],[İŞİN ADI]],"_",Tablo1710612131618202224[[#This Row],[İŞİN TÜRÜ]])</f>
        <v>202601339___ÖN HESAP SONUÇ FORMU</v>
      </c>
    </row>
    <row r="349" spans="1:11" s="22" customFormat="1" ht="24.95" customHeight="1" x14ac:dyDescent="0.25">
      <c r="A349" s="21">
        <v>46051</v>
      </c>
      <c r="B349" s="22">
        <v>202601340</v>
      </c>
      <c r="E349" s="22" t="s">
        <v>17</v>
      </c>
      <c r="F349" s="1" t="s">
        <v>5</v>
      </c>
      <c r="G349" s="26"/>
      <c r="H349" s="18" t="s">
        <v>27</v>
      </c>
      <c r="I349" s="18"/>
      <c r="J349" s="30"/>
      <c r="K349" s="22" t="str">
        <f>+CONCATENATE(Tablo1710612131618202224[[#This Row],[DOSYA NO]],"_",Tablo1710612131618202224[[#This Row],[MÜŞTERİ ADI]],$P$10,"_",Tablo1710612131618202224[[#This Row],[İŞİN ADI]],"_",Tablo1710612131618202224[[#This Row],[İŞİN TÜRÜ]])</f>
        <v>202601340___ÖN HESAP SONUÇ FORMU</v>
      </c>
    </row>
    <row r="350" spans="1:11" s="22" customFormat="1" ht="24.95" customHeight="1" x14ac:dyDescent="0.25">
      <c r="A350" s="21">
        <v>46051</v>
      </c>
      <c r="B350" s="22">
        <v>202601341</v>
      </c>
      <c r="E350" s="22" t="s">
        <v>77</v>
      </c>
      <c r="F350" s="1" t="s">
        <v>5</v>
      </c>
      <c r="G350" s="26"/>
      <c r="H350" s="18" t="s">
        <v>27</v>
      </c>
      <c r="I350" s="18"/>
      <c r="J350" s="30"/>
      <c r="K350" s="22" t="str">
        <f>+CONCATENATE(Tablo1710612131618202224[[#This Row],[DOSYA NO]],"_",Tablo1710612131618202224[[#This Row],[MÜŞTERİ ADI]],$P$10,"_",Tablo1710612131618202224[[#This Row],[İŞİN ADI]],"_",Tablo1710612131618202224[[#This Row],[İŞİN TÜRÜ]])</f>
        <v>202601341___EKB ÇİZİM VE ONAYI</v>
      </c>
    </row>
    <row r="351" spans="1:11" s="22" customFormat="1" ht="24.95" customHeight="1" x14ac:dyDescent="0.25">
      <c r="A351" s="21">
        <v>46051</v>
      </c>
      <c r="B351" s="22">
        <v>202601342</v>
      </c>
      <c r="E351" s="22" t="s">
        <v>16</v>
      </c>
      <c r="F351" s="1" t="s">
        <v>5</v>
      </c>
      <c r="G351" s="26"/>
      <c r="H351" s="18" t="s">
        <v>27</v>
      </c>
      <c r="I351" s="18"/>
      <c r="J351" s="30"/>
      <c r="K351" s="22" t="str">
        <f>+CONCATENATE(Tablo1710612131618202224[[#This Row],[DOSYA NO]],"_",Tablo1710612131618202224[[#This Row],[MÜŞTERİ ADI]],$P$10,"_",Tablo1710612131618202224[[#This Row],[İŞİN ADI]],"_",Tablo1710612131618202224[[#This Row],[İŞİN TÜRÜ]])</f>
        <v>202601342___AKUSTİK RAPOR &amp; PROJE</v>
      </c>
    </row>
    <row r="352" spans="1:11" s="22" customFormat="1" ht="24.95" customHeight="1" x14ac:dyDescent="0.25">
      <c r="A352" s="21">
        <v>46051</v>
      </c>
      <c r="B352" s="22">
        <v>202601343</v>
      </c>
      <c r="E352" s="22" t="s">
        <v>62</v>
      </c>
      <c r="F352" s="1" t="s">
        <v>5</v>
      </c>
      <c r="G352" s="26"/>
      <c r="H352" s="18" t="s">
        <v>27</v>
      </c>
      <c r="I352" s="18"/>
      <c r="J352" s="30"/>
      <c r="K352" s="22" t="str">
        <f>+CONCATENATE(Tablo1710612131618202224[[#This Row],[DOSYA NO]],"_",Tablo1710612131618202224[[#This Row],[MÜŞTERİ ADI]],$P$10,"_",Tablo1710612131618202224[[#This Row],[İŞİN ADI]],"_",Tablo1710612131618202224[[#This Row],[İŞİN TÜRÜ]])</f>
        <v>202601343___EKB ÇİZİMİ</v>
      </c>
    </row>
    <row r="353" spans="1:11" s="22" customFormat="1" ht="24.95" customHeight="1" x14ac:dyDescent="0.25">
      <c r="A353" s="21">
        <v>46051</v>
      </c>
      <c r="B353" s="22">
        <v>202601344</v>
      </c>
      <c r="E353" s="22" t="s">
        <v>62</v>
      </c>
      <c r="F353" s="1" t="s">
        <v>5</v>
      </c>
      <c r="G353" s="26"/>
      <c r="H353" s="18" t="s">
        <v>27</v>
      </c>
      <c r="I353" s="18"/>
      <c r="J353" s="30"/>
      <c r="K353" s="22" t="str">
        <f>+CONCATENATE(Tablo1710612131618202224[[#This Row],[DOSYA NO]],"_",Tablo1710612131618202224[[#This Row],[MÜŞTERİ ADI]],$P$10,"_",Tablo1710612131618202224[[#This Row],[İŞİN ADI]],"_",Tablo1710612131618202224[[#This Row],[İŞİN TÜRÜ]])</f>
        <v>202601344___EKB ÇİZİMİ</v>
      </c>
    </row>
    <row r="354" spans="1:11" s="22" customFormat="1" ht="24.95" customHeight="1" x14ac:dyDescent="0.25">
      <c r="A354" s="21">
        <v>46051</v>
      </c>
      <c r="B354" s="22">
        <v>202601345</v>
      </c>
      <c r="E354" s="22" t="s">
        <v>62</v>
      </c>
      <c r="F354" s="1" t="s">
        <v>5</v>
      </c>
      <c r="G354" s="26"/>
      <c r="H354" s="18" t="s">
        <v>27</v>
      </c>
      <c r="I354" s="18"/>
      <c r="J354" s="30"/>
      <c r="K354" s="22" t="str">
        <f>+CONCATENATE(Tablo1710612131618202224[[#This Row],[DOSYA NO]],"_",Tablo1710612131618202224[[#This Row],[MÜŞTERİ ADI]],$P$10,"_",Tablo1710612131618202224[[#This Row],[İŞİN ADI]],"_",Tablo1710612131618202224[[#This Row],[İŞİN TÜRÜ]])</f>
        <v>202601345___EKB ÇİZİMİ</v>
      </c>
    </row>
    <row r="355" spans="1:11" s="22" customFormat="1" ht="24.95" customHeight="1" x14ac:dyDescent="0.25">
      <c r="A355" s="21">
        <v>46051</v>
      </c>
      <c r="B355" s="22">
        <v>202601346</v>
      </c>
      <c r="E355" s="22" t="s">
        <v>17</v>
      </c>
      <c r="F355" s="1" t="s">
        <v>5</v>
      </c>
      <c r="G355" s="26"/>
      <c r="H355" s="18" t="s">
        <v>27</v>
      </c>
      <c r="I355" s="18"/>
      <c r="J355" s="30"/>
      <c r="K355" s="22" t="str">
        <f>+CONCATENATE(Tablo1710612131618202224[[#This Row],[DOSYA NO]],"_",Tablo1710612131618202224[[#This Row],[MÜŞTERİ ADI]],$P$10,"_",Tablo1710612131618202224[[#This Row],[İŞİN ADI]],"_",Tablo1710612131618202224[[#This Row],[İŞİN TÜRÜ]])</f>
        <v>202601346___ÖN HESAP SONUÇ FORMU</v>
      </c>
    </row>
    <row r="356" spans="1:11" s="22" customFormat="1" ht="24.95" customHeight="1" x14ac:dyDescent="0.25">
      <c r="A356" s="21">
        <v>46051</v>
      </c>
      <c r="B356" s="22">
        <v>202601347</v>
      </c>
      <c r="E356" s="22" t="s">
        <v>16</v>
      </c>
      <c r="F356" s="1" t="s">
        <v>5</v>
      </c>
      <c r="G356" s="26"/>
      <c r="H356" s="18" t="s">
        <v>27</v>
      </c>
      <c r="I356" s="18"/>
      <c r="J356" s="30"/>
      <c r="K356" s="22" t="str">
        <f>+CONCATENATE(Tablo1710612131618202224[[#This Row],[DOSYA NO]],"_",Tablo1710612131618202224[[#This Row],[MÜŞTERİ ADI]],$P$10,"_",Tablo1710612131618202224[[#This Row],[İŞİN ADI]],"_",Tablo1710612131618202224[[#This Row],[İŞİN TÜRÜ]])</f>
        <v>202601347___AKUSTİK RAPOR &amp; PROJE</v>
      </c>
    </row>
    <row r="357" spans="1:11" s="22" customFormat="1" ht="24.95" customHeight="1" x14ac:dyDescent="0.25">
      <c r="A357" s="21">
        <v>46051</v>
      </c>
      <c r="B357" s="22">
        <v>202601348</v>
      </c>
      <c r="E357" s="22" t="s">
        <v>17</v>
      </c>
      <c r="F357" s="1" t="s">
        <v>5</v>
      </c>
      <c r="G357" s="26"/>
      <c r="H357" s="18" t="s">
        <v>27</v>
      </c>
      <c r="I357" s="18"/>
      <c r="J357" s="30"/>
      <c r="K357" s="22" t="str">
        <f>+CONCATENATE(Tablo1710612131618202224[[#This Row],[DOSYA NO]],"_",Tablo1710612131618202224[[#This Row],[MÜŞTERİ ADI]],$P$10,"_",Tablo1710612131618202224[[#This Row],[İŞİN ADI]],"_",Tablo1710612131618202224[[#This Row],[İŞİN TÜRÜ]])</f>
        <v>202601348___ÖN HESAP SONUÇ FORMU</v>
      </c>
    </row>
    <row r="358" spans="1:11" s="22" customFormat="1" ht="24.95" customHeight="1" x14ac:dyDescent="0.25">
      <c r="A358" s="21">
        <v>46051</v>
      </c>
      <c r="B358" s="22">
        <v>202601349</v>
      </c>
      <c r="E358" s="22" t="s">
        <v>16</v>
      </c>
      <c r="F358" s="1" t="s">
        <v>5</v>
      </c>
      <c r="G358" s="26"/>
      <c r="H358" s="18" t="s">
        <v>27</v>
      </c>
      <c r="I358" s="18"/>
      <c r="J358" s="30"/>
      <c r="K358" s="22" t="str">
        <f>+CONCATENATE(Tablo1710612131618202224[[#This Row],[DOSYA NO]],"_",Tablo1710612131618202224[[#This Row],[MÜŞTERİ ADI]],$P$10,"_",Tablo1710612131618202224[[#This Row],[İŞİN ADI]],"_",Tablo1710612131618202224[[#This Row],[İŞİN TÜRÜ]])</f>
        <v>202601349___AKUSTİK RAPOR &amp; PROJE</v>
      </c>
    </row>
    <row r="359" spans="1:11" s="22" customFormat="1" ht="24.95" customHeight="1" x14ac:dyDescent="0.25">
      <c r="A359" s="21">
        <v>46051</v>
      </c>
      <c r="B359" s="22">
        <v>202601350</v>
      </c>
      <c r="E359" s="22" t="s">
        <v>16</v>
      </c>
      <c r="F359" s="1" t="s">
        <v>5</v>
      </c>
      <c r="G359" s="26"/>
      <c r="H359" s="18" t="s">
        <v>27</v>
      </c>
      <c r="I359" s="18"/>
      <c r="J359" s="30"/>
      <c r="K359" s="22" t="str">
        <f>+CONCATENATE(Tablo1710612131618202224[[#This Row],[DOSYA NO]],"_",Tablo1710612131618202224[[#This Row],[MÜŞTERİ ADI]],$P$10,"_",Tablo1710612131618202224[[#This Row],[İŞİN ADI]],"_",Tablo1710612131618202224[[#This Row],[İŞİN TÜRÜ]])</f>
        <v>202601350___AKUSTİK RAPOR &amp; PROJE</v>
      </c>
    </row>
    <row r="360" spans="1:11" s="22" customFormat="1" ht="24.95" customHeight="1" x14ac:dyDescent="0.25">
      <c r="A360" s="21">
        <v>46051</v>
      </c>
      <c r="B360" s="22">
        <v>202601351</v>
      </c>
      <c r="E360" s="22" t="s">
        <v>16</v>
      </c>
      <c r="F360" s="1" t="s">
        <v>5</v>
      </c>
      <c r="G360" s="26"/>
      <c r="H360" s="18" t="s">
        <v>27</v>
      </c>
      <c r="I360" s="18"/>
      <c r="J360" s="30"/>
      <c r="K360" s="22" t="str">
        <f>+CONCATENATE(Tablo1710612131618202224[[#This Row],[DOSYA NO]],"_",Tablo1710612131618202224[[#This Row],[MÜŞTERİ ADI]],$P$10,"_",Tablo1710612131618202224[[#This Row],[İŞİN ADI]],"_",Tablo1710612131618202224[[#This Row],[İŞİN TÜRÜ]])</f>
        <v>202601351___AKUSTİK RAPOR &amp; PROJE</v>
      </c>
    </row>
    <row r="361" spans="1:11" s="22" customFormat="1" ht="24.95" customHeight="1" x14ac:dyDescent="0.25">
      <c r="A361" s="21">
        <v>46051</v>
      </c>
      <c r="B361" s="22">
        <v>202601352</v>
      </c>
      <c r="E361" s="22" t="s">
        <v>77</v>
      </c>
      <c r="F361" s="1" t="s">
        <v>5</v>
      </c>
      <c r="G361" s="26"/>
      <c r="H361" s="18" t="s">
        <v>22</v>
      </c>
      <c r="I361" s="18"/>
      <c r="J361" s="30"/>
      <c r="K361" s="22" t="str">
        <f>+CONCATENATE(Tablo1710612131618202224[[#This Row],[DOSYA NO]],"_",Tablo1710612131618202224[[#This Row],[MÜŞTERİ ADI]],$P$10,"_",Tablo1710612131618202224[[#This Row],[İŞİN ADI]],"_",Tablo1710612131618202224[[#This Row],[İŞİN TÜRÜ]])</f>
        <v>202601352___EKB ÇİZİM VE ONAYI</v>
      </c>
    </row>
    <row r="362" spans="1:11" s="22" customFormat="1" ht="24.95" customHeight="1" x14ac:dyDescent="0.25">
      <c r="A362" s="21">
        <v>46052</v>
      </c>
      <c r="B362" s="22">
        <v>202601353</v>
      </c>
      <c r="E362" s="22" t="s">
        <v>62</v>
      </c>
      <c r="F362" s="1" t="s">
        <v>5</v>
      </c>
      <c r="G362" s="26"/>
      <c r="H362" s="18" t="s">
        <v>27</v>
      </c>
      <c r="I362" s="18"/>
      <c r="J362" s="30"/>
      <c r="K362" s="22" t="str">
        <f>+CONCATENATE(Tablo1710612131618202224[[#This Row],[DOSYA NO]],"_",Tablo1710612131618202224[[#This Row],[MÜŞTERİ ADI]],$P$10,"_",Tablo1710612131618202224[[#This Row],[İŞİN ADI]],"_",Tablo1710612131618202224[[#This Row],[İŞİN TÜRÜ]])</f>
        <v>202601353___EKB ÇİZİMİ</v>
      </c>
    </row>
    <row r="363" spans="1:11" s="22" customFormat="1" ht="24.95" customHeight="1" x14ac:dyDescent="0.25">
      <c r="A363" s="21">
        <v>46052</v>
      </c>
      <c r="B363" s="22">
        <v>202601354</v>
      </c>
      <c r="E363" s="22" t="s">
        <v>62</v>
      </c>
      <c r="F363" s="1" t="s">
        <v>15</v>
      </c>
      <c r="G363" s="26"/>
      <c r="H363" s="18" t="s">
        <v>27</v>
      </c>
      <c r="I363" s="18"/>
      <c r="J363" s="30"/>
      <c r="K363" s="22" t="str">
        <f>+CONCATENATE(Tablo1710612131618202224[[#This Row],[DOSYA NO]],"_",Tablo1710612131618202224[[#This Row],[MÜŞTERİ ADI]],$P$10,"_",Tablo1710612131618202224[[#This Row],[İŞİN ADI]],"_",Tablo1710612131618202224[[#This Row],[İŞİN TÜRÜ]])</f>
        <v>202601354___EKB ÇİZİMİ</v>
      </c>
    </row>
    <row r="364" spans="1:11" s="22" customFormat="1" ht="24.95" customHeight="1" x14ac:dyDescent="0.25">
      <c r="A364" s="21">
        <v>46052</v>
      </c>
      <c r="B364" s="22">
        <v>202601355</v>
      </c>
      <c r="E364" s="22" t="s">
        <v>62</v>
      </c>
      <c r="F364" s="1" t="s">
        <v>5</v>
      </c>
      <c r="G364" s="26"/>
      <c r="H364" s="18" t="s">
        <v>27</v>
      </c>
      <c r="I364" s="18"/>
      <c r="J364" s="30"/>
      <c r="K364" s="22" t="str">
        <f>+CONCATENATE(Tablo1710612131618202224[[#This Row],[DOSYA NO]],"_",Tablo1710612131618202224[[#This Row],[MÜŞTERİ ADI]],$P$10,"_",Tablo1710612131618202224[[#This Row],[İŞİN ADI]],"_",Tablo1710612131618202224[[#This Row],[İŞİN TÜRÜ]])</f>
        <v>202601355___EKB ÇİZİMİ</v>
      </c>
    </row>
    <row r="365" spans="1:11" s="22" customFormat="1" ht="24.95" customHeight="1" x14ac:dyDescent="0.25">
      <c r="A365" s="21">
        <v>46052</v>
      </c>
      <c r="B365" s="22">
        <v>202601356</v>
      </c>
      <c r="E365" s="22" t="s">
        <v>16</v>
      </c>
      <c r="F365" s="1" t="s">
        <v>5</v>
      </c>
      <c r="G365" s="26"/>
      <c r="H365" s="18" t="s">
        <v>27</v>
      </c>
      <c r="I365" s="18"/>
      <c r="J365" s="30"/>
      <c r="K365" s="22" t="str">
        <f>+CONCATENATE(Tablo1710612131618202224[[#This Row],[DOSYA NO]],"_",Tablo1710612131618202224[[#This Row],[MÜŞTERİ ADI]],$P$10,"_",Tablo1710612131618202224[[#This Row],[İŞİN ADI]],"_",Tablo1710612131618202224[[#This Row],[İŞİN TÜRÜ]])</f>
        <v>202601356___AKUSTİK RAPOR &amp; PROJE</v>
      </c>
    </row>
    <row r="366" spans="1:11" s="22" customFormat="1" ht="24.95" customHeight="1" x14ac:dyDescent="0.25">
      <c r="A366" s="21">
        <v>46052</v>
      </c>
      <c r="B366" s="22">
        <v>202601357</v>
      </c>
      <c r="E366" s="22" t="s">
        <v>16</v>
      </c>
      <c r="F366" s="1" t="s">
        <v>5</v>
      </c>
      <c r="G366" s="26"/>
      <c r="H366" s="18" t="s">
        <v>27</v>
      </c>
      <c r="I366" s="18"/>
      <c r="J366" s="30"/>
      <c r="K366" s="22" t="str">
        <f>+CONCATENATE(Tablo1710612131618202224[[#This Row],[DOSYA NO]],"_",Tablo1710612131618202224[[#This Row],[MÜŞTERİ ADI]],$P$10,"_",Tablo1710612131618202224[[#This Row],[İŞİN ADI]],"_",Tablo1710612131618202224[[#This Row],[İŞİN TÜRÜ]])</f>
        <v>202601357___AKUSTİK RAPOR &amp; PROJE</v>
      </c>
    </row>
    <row r="367" spans="1:11" s="22" customFormat="1" ht="24.95" customHeight="1" x14ac:dyDescent="0.25">
      <c r="A367" s="21">
        <v>46052</v>
      </c>
      <c r="B367" s="22">
        <v>202601358</v>
      </c>
      <c r="E367" s="22" t="s">
        <v>16</v>
      </c>
      <c r="F367" s="1" t="s">
        <v>6</v>
      </c>
      <c r="G367" s="26"/>
      <c r="H367" s="18" t="s">
        <v>27</v>
      </c>
      <c r="I367" s="18"/>
      <c r="J367" s="30"/>
      <c r="K367" s="22" t="str">
        <f>+CONCATENATE(Tablo1710612131618202224[[#This Row],[DOSYA NO]],"_",Tablo1710612131618202224[[#This Row],[MÜŞTERİ ADI]],$P$10,"_",Tablo1710612131618202224[[#This Row],[İŞİN ADI]],"_",Tablo1710612131618202224[[#This Row],[İŞİN TÜRÜ]])</f>
        <v>202601358___AKUSTİK RAPOR &amp; PROJE</v>
      </c>
    </row>
    <row r="368" spans="1:11" s="22" customFormat="1" ht="24.95" customHeight="1" x14ac:dyDescent="0.25">
      <c r="A368" s="21">
        <v>46052</v>
      </c>
      <c r="B368" s="22">
        <v>202601359</v>
      </c>
      <c r="E368" s="22" t="s">
        <v>62</v>
      </c>
      <c r="F368" s="1" t="s">
        <v>5</v>
      </c>
      <c r="G368" s="26"/>
      <c r="H368" s="18" t="s">
        <v>27</v>
      </c>
      <c r="I368" s="18"/>
      <c r="J368" s="30"/>
      <c r="K368" s="22" t="str">
        <f>+CONCATENATE(Tablo1710612131618202224[[#This Row],[DOSYA NO]],"_",Tablo1710612131618202224[[#This Row],[MÜŞTERİ ADI]],$P$10,"_",Tablo1710612131618202224[[#This Row],[İŞİN ADI]],"_",Tablo1710612131618202224[[#This Row],[İŞİN TÜRÜ]])</f>
        <v>202601359___EKB ÇİZİMİ</v>
      </c>
    </row>
    <row r="369" spans="1:11" s="22" customFormat="1" ht="24.95" customHeight="1" x14ac:dyDescent="0.25">
      <c r="A369" s="21">
        <v>46052</v>
      </c>
      <c r="B369" s="22">
        <v>202601360</v>
      </c>
      <c r="E369" s="22" t="s">
        <v>17</v>
      </c>
      <c r="F369" s="1" t="s">
        <v>5</v>
      </c>
      <c r="G369" s="26"/>
      <c r="H369" s="18" t="s">
        <v>27</v>
      </c>
      <c r="I369" s="18"/>
      <c r="J369" s="30"/>
      <c r="K369" s="22" t="str">
        <f>+CONCATENATE(Tablo1710612131618202224[[#This Row],[DOSYA NO]],"_",Tablo1710612131618202224[[#This Row],[MÜŞTERİ ADI]],$P$10,"_",Tablo1710612131618202224[[#This Row],[İŞİN ADI]],"_",Tablo1710612131618202224[[#This Row],[İŞİN TÜRÜ]])</f>
        <v>202601360___ÖN HESAP SONUÇ FORMU</v>
      </c>
    </row>
    <row r="370" spans="1:11" s="22" customFormat="1" ht="24.95" customHeight="1" x14ac:dyDescent="0.25">
      <c r="A370" s="21">
        <v>46052</v>
      </c>
      <c r="B370" s="22">
        <v>202601361</v>
      </c>
      <c r="E370" s="22" t="s">
        <v>17</v>
      </c>
      <c r="F370" s="1" t="s">
        <v>5</v>
      </c>
      <c r="G370" s="26"/>
      <c r="H370" s="18" t="s">
        <v>27</v>
      </c>
      <c r="I370" s="18"/>
      <c r="J370" s="30"/>
      <c r="K370" s="22" t="str">
        <f>+CONCATENATE(Tablo1710612131618202224[[#This Row],[DOSYA NO]],"_",Tablo1710612131618202224[[#This Row],[MÜŞTERİ ADI]],$P$10,"_",Tablo1710612131618202224[[#This Row],[İŞİN ADI]],"_",Tablo1710612131618202224[[#This Row],[İŞİN TÜRÜ]])</f>
        <v>202601361___ÖN HESAP SONUÇ FORMU</v>
      </c>
    </row>
    <row r="371" spans="1:11" s="22" customFormat="1" ht="24.95" customHeight="1" x14ac:dyDescent="0.25">
      <c r="A371" s="21">
        <v>46052</v>
      </c>
      <c r="B371" s="22">
        <v>202601362</v>
      </c>
      <c r="E371" s="22" t="s">
        <v>16</v>
      </c>
      <c r="F371" s="1" t="s">
        <v>5</v>
      </c>
      <c r="G371" s="26"/>
      <c r="H371" s="18" t="s">
        <v>27</v>
      </c>
      <c r="I371" s="18"/>
      <c r="J371" s="30"/>
      <c r="K371" s="22" t="str">
        <f>+CONCATENATE(Tablo1710612131618202224[[#This Row],[DOSYA NO]],"_",Tablo1710612131618202224[[#This Row],[MÜŞTERİ ADI]],$P$10,"_",Tablo1710612131618202224[[#This Row],[İŞİN ADI]],"_",Tablo1710612131618202224[[#This Row],[İŞİN TÜRÜ]])</f>
        <v>202601362___AKUSTİK RAPOR &amp; PROJE</v>
      </c>
    </row>
    <row r="372" spans="1:11" s="22" customFormat="1" ht="24.95" customHeight="1" x14ac:dyDescent="0.25">
      <c r="A372" s="21">
        <v>46052</v>
      </c>
      <c r="B372" s="22">
        <v>202601363</v>
      </c>
      <c r="E372" s="22" t="s">
        <v>16</v>
      </c>
      <c r="F372" s="1" t="s">
        <v>5</v>
      </c>
      <c r="G372" s="26"/>
      <c r="H372" s="18" t="s">
        <v>27</v>
      </c>
      <c r="I372" s="18"/>
      <c r="J372" s="30"/>
      <c r="K372" s="22" t="str">
        <f>+CONCATENATE(Tablo1710612131618202224[[#This Row],[DOSYA NO]],"_",Tablo1710612131618202224[[#This Row],[MÜŞTERİ ADI]],$P$10,"_",Tablo1710612131618202224[[#This Row],[İŞİN ADI]],"_",Tablo1710612131618202224[[#This Row],[İŞİN TÜRÜ]])</f>
        <v>202601363___AKUSTİK RAPOR &amp; PROJE</v>
      </c>
    </row>
    <row r="373" spans="1:11" s="22" customFormat="1" ht="24.95" customHeight="1" x14ac:dyDescent="0.25">
      <c r="A373" s="21">
        <v>46052</v>
      </c>
      <c r="B373" s="22">
        <v>202601364</v>
      </c>
      <c r="E373" s="22" t="s">
        <v>16</v>
      </c>
      <c r="F373" s="1" t="s">
        <v>5</v>
      </c>
      <c r="G373" s="26"/>
      <c r="H373" s="18" t="s">
        <v>27</v>
      </c>
      <c r="I373" s="18"/>
      <c r="J373" s="30"/>
      <c r="K373" s="22" t="str">
        <f>+CONCATENATE(Tablo1710612131618202224[[#This Row],[DOSYA NO]],"_",Tablo1710612131618202224[[#This Row],[MÜŞTERİ ADI]],$P$10,"_",Tablo1710612131618202224[[#This Row],[İŞİN ADI]],"_",Tablo1710612131618202224[[#This Row],[İŞİN TÜRÜ]])</f>
        <v>202601364___AKUSTİK RAPOR &amp; PROJE</v>
      </c>
    </row>
    <row r="374" spans="1:11" s="22" customFormat="1" ht="24.95" customHeight="1" x14ac:dyDescent="0.25">
      <c r="A374" s="21">
        <v>46052</v>
      </c>
      <c r="B374" s="22">
        <v>202601365</v>
      </c>
      <c r="E374" s="22" t="s">
        <v>17</v>
      </c>
      <c r="F374" s="1" t="s">
        <v>5</v>
      </c>
      <c r="G374" s="26"/>
      <c r="H374" s="18" t="s">
        <v>27</v>
      </c>
      <c r="I374" s="18"/>
      <c r="J374" s="30"/>
      <c r="K374" s="22" t="str">
        <f>+CONCATENATE(Tablo1710612131618202224[[#This Row],[DOSYA NO]],"_",Tablo1710612131618202224[[#This Row],[MÜŞTERİ ADI]],$P$10,"_",Tablo1710612131618202224[[#This Row],[İŞİN ADI]],"_",Tablo1710612131618202224[[#This Row],[İŞİN TÜRÜ]])</f>
        <v>202601365___ÖN HESAP SONUÇ FORMU</v>
      </c>
    </row>
    <row r="375" spans="1:11" s="22" customFormat="1" ht="24.95" customHeight="1" x14ac:dyDescent="0.25">
      <c r="A375" s="21">
        <v>46052</v>
      </c>
      <c r="B375" s="22">
        <v>202601366</v>
      </c>
      <c r="E375" s="22" t="s">
        <v>16</v>
      </c>
      <c r="F375" s="1" t="s">
        <v>5</v>
      </c>
      <c r="G375" s="26"/>
      <c r="H375" s="18" t="s">
        <v>27</v>
      </c>
      <c r="I375" s="18"/>
      <c r="J375" s="30"/>
      <c r="K375" s="22" t="str">
        <f>+CONCATENATE(Tablo1710612131618202224[[#This Row],[DOSYA NO]],"_",Tablo1710612131618202224[[#This Row],[MÜŞTERİ ADI]],$P$10,"_",Tablo1710612131618202224[[#This Row],[İŞİN ADI]],"_",Tablo1710612131618202224[[#This Row],[İŞİN TÜRÜ]])</f>
        <v>202601366___AKUSTİK RAPOR &amp; PROJE</v>
      </c>
    </row>
    <row r="376" spans="1:11" s="22" customFormat="1" ht="24.95" customHeight="1" x14ac:dyDescent="0.25">
      <c r="A376" s="21">
        <v>46053</v>
      </c>
      <c r="B376" s="22">
        <v>202601367</v>
      </c>
      <c r="E376" s="22" t="s">
        <v>62</v>
      </c>
      <c r="F376" s="1" t="s">
        <v>5</v>
      </c>
      <c r="G376" s="26"/>
      <c r="H376" s="18" t="s">
        <v>27</v>
      </c>
      <c r="I376" s="18"/>
      <c r="J376" s="30"/>
      <c r="K376" s="22" t="str">
        <f>+CONCATENATE(Tablo1710612131618202224[[#This Row],[DOSYA NO]],"_",Tablo1710612131618202224[[#This Row],[MÜŞTERİ ADI]],$P$10,"_",Tablo1710612131618202224[[#This Row],[İŞİN ADI]],"_",Tablo1710612131618202224[[#This Row],[İŞİN TÜRÜ]])</f>
        <v>202601367___EKB ÇİZİMİ</v>
      </c>
    </row>
    <row r="377" spans="1:11" s="22" customFormat="1" ht="24.95" customHeight="1" x14ac:dyDescent="0.25">
      <c r="A377" s="21">
        <v>46053</v>
      </c>
      <c r="B377" s="22">
        <v>202601368</v>
      </c>
      <c r="E377" s="22" t="s">
        <v>62</v>
      </c>
      <c r="F377" s="1" t="s">
        <v>5</v>
      </c>
      <c r="G377" s="26"/>
      <c r="H377" s="18" t="s">
        <v>27</v>
      </c>
      <c r="I377" s="18"/>
      <c r="J377" s="30"/>
      <c r="K377" s="22" t="str">
        <f>+CONCATENATE(Tablo1710612131618202224[[#This Row],[DOSYA NO]],"_",Tablo1710612131618202224[[#This Row],[MÜŞTERİ ADI]],$P$10,"_",Tablo1710612131618202224[[#This Row],[İŞİN ADI]],"_",Tablo1710612131618202224[[#This Row],[İŞİN TÜRÜ]])</f>
        <v>202601368___EKB ÇİZİMİ</v>
      </c>
    </row>
    <row r="378" spans="1:11" s="22" customFormat="1" ht="24.95" customHeight="1" x14ac:dyDescent="0.25">
      <c r="A378" s="21">
        <v>46053</v>
      </c>
      <c r="B378" s="22">
        <v>202601369</v>
      </c>
      <c r="E378" s="22" t="s">
        <v>62</v>
      </c>
      <c r="F378" s="1" t="s">
        <v>5</v>
      </c>
      <c r="G378" s="26"/>
      <c r="H378" s="18" t="s">
        <v>27</v>
      </c>
      <c r="I378" s="18"/>
      <c r="J378" s="30"/>
      <c r="K378" s="22" t="str">
        <f>+CONCATENATE(Tablo1710612131618202224[[#This Row],[DOSYA NO]],"_",Tablo1710612131618202224[[#This Row],[MÜŞTERİ ADI]],$P$10,"_",Tablo1710612131618202224[[#This Row],[İŞİN ADI]],"_",Tablo1710612131618202224[[#This Row],[İŞİN TÜRÜ]])</f>
        <v>202601369___EKB ÇİZİMİ</v>
      </c>
    </row>
    <row r="379" spans="1:11" s="22" customFormat="1" ht="24.95" customHeight="1" x14ac:dyDescent="0.25">
      <c r="A379" s="21">
        <v>46053</v>
      </c>
      <c r="B379" s="22">
        <v>202601370</v>
      </c>
      <c r="E379" s="22" t="s">
        <v>77</v>
      </c>
      <c r="F379" s="1" t="s">
        <v>5</v>
      </c>
      <c r="G379" s="26"/>
      <c r="H379" s="18" t="s">
        <v>27</v>
      </c>
      <c r="I379" s="18"/>
      <c r="J379" s="30"/>
      <c r="K379" s="22" t="str">
        <f>+CONCATENATE(Tablo1710612131618202224[[#This Row],[DOSYA NO]],"_",Tablo1710612131618202224[[#This Row],[MÜŞTERİ ADI]],$P$10,"_",Tablo1710612131618202224[[#This Row],[İŞİN ADI]],"_",Tablo1710612131618202224[[#This Row],[İŞİN TÜRÜ]])</f>
        <v>202601370___EKB ÇİZİM VE ONAYI</v>
      </c>
    </row>
    <row r="380" spans="1:11" s="22" customFormat="1" ht="24.95" customHeight="1" x14ac:dyDescent="0.25">
      <c r="A380" s="21">
        <v>46053</v>
      </c>
      <c r="B380" s="22">
        <v>202601371</v>
      </c>
      <c r="E380" s="22" t="s">
        <v>77</v>
      </c>
      <c r="F380" s="1" t="s">
        <v>15</v>
      </c>
      <c r="G380" s="26"/>
      <c r="H380" s="18" t="s">
        <v>27</v>
      </c>
      <c r="I380" s="18"/>
      <c r="J380" s="30"/>
      <c r="K380" s="22" t="str">
        <f>+CONCATENATE(Tablo1710612131618202224[[#This Row],[DOSYA NO]],"_",Tablo1710612131618202224[[#This Row],[MÜŞTERİ ADI]],$P$10,"_",Tablo1710612131618202224[[#This Row],[İŞİN ADI]],"_",Tablo1710612131618202224[[#This Row],[İŞİN TÜRÜ]])</f>
        <v>202601371___EKB ÇİZİM VE ONAYI</v>
      </c>
    </row>
    <row r="381" spans="1:11" s="22" customFormat="1" ht="24.95" customHeight="1" x14ac:dyDescent="0.25">
      <c r="A381" s="21">
        <v>46053</v>
      </c>
      <c r="B381" s="22">
        <v>202601372</v>
      </c>
      <c r="E381" s="22" t="s">
        <v>16</v>
      </c>
      <c r="F381" s="1" t="s">
        <v>5</v>
      </c>
      <c r="G381" s="26"/>
      <c r="H381" s="18" t="s">
        <v>27</v>
      </c>
      <c r="I381" s="18"/>
      <c r="J381" s="30"/>
      <c r="K381" s="22" t="str">
        <f>+CONCATENATE(Tablo1710612131618202224[[#This Row],[DOSYA NO]],"_",Tablo1710612131618202224[[#This Row],[MÜŞTERİ ADI]],$P$10,"_",Tablo1710612131618202224[[#This Row],[İŞİN ADI]],"_",Tablo1710612131618202224[[#This Row],[İŞİN TÜRÜ]])</f>
        <v>202601372___AKUSTİK RAPOR &amp; PROJE</v>
      </c>
    </row>
    <row r="382" spans="1:11" s="22" customFormat="1" ht="24.95" customHeight="1" x14ac:dyDescent="0.25">
      <c r="A382" s="21">
        <v>46055</v>
      </c>
      <c r="B382" s="22">
        <v>20260201</v>
      </c>
      <c r="E382" s="22" t="s">
        <v>17</v>
      </c>
      <c r="F382" s="1" t="s">
        <v>5</v>
      </c>
      <c r="G382" s="26"/>
      <c r="H382" s="18" t="s">
        <v>27</v>
      </c>
      <c r="I382" s="18"/>
      <c r="J382" s="30"/>
      <c r="K382" s="22" t="str">
        <f>+CONCATENATE(Tablo1710612131618202224[[#This Row],[DOSYA NO]],"_",Tablo1710612131618202224[[#This Row],[MÜŞTERİ ADI]],$P$10,"_",Tablo1710612131618202224[[#This Row],[İŞİN ADI]],"_",Tablo1710612131618202224[[#This Row],[İŞİN TÜRÜ]])</f>
        <v>20260201___ÖN HESAP SONUÇ FORMU</v>
      </c>
    </row>
    <row r="383" spans="1:11" s="22" customFormat="1" ht="24.95" customHeight="1" x14ac:dyDescent="0.25">
      <c r="A383" s="21">
        <v>46055</v>
      </c>
      <c r="B383" s="22">
        <v>20260202</v>
      </c>
      <c r="E383" s="22" t="s">
        <v>17</v>
      </c>
      <c r="F383" s="1" t="s">
        <v>5</v>
      </c>
      <c r="G383" s="26"/>
      <c r="H383" s="18" t="s">
        <v>27</v>
      </c>
      <c r="I383" s="18"/>
      <c r="J383" s="30"/>
      <c r="K383" s="22" t="str">
        <f>+CONCATENATE(Tablo1710612131618202224[[#This Row],[DOSYA NO]],"_",Tablo1710612131618202224[[#This Row],[MÜŞTERİ ADI]],$P$10,"_",Tablo1710612131618202224[[#This Row],[İŞİN ADI]],"_",Tablo1710612131618202224[[#This Row],[İŞİN TÜRÜ]])</f>
        <v>20260202___ÖN HESAP SONUÇ FORMU</v>
      </c>
    </row>
    <row r="384" spans="1:11" s="22" customFormat="1" ht="24.95" customHeight="1" x14ac:dyDescent="0.25">
      <c r="A384" s="21">
        <v>46055</v>
      </c>
      <c r="B384" s="22">
        <v>20260203</v>
      </c>
      <c r="E384" s="22" t="s">
        <v>17</v>
      </c>
      <c r="F384" s="1" t="s">
        <v>5</v>
      </c>
      <c r="G384" s="26"/>
      <c r="H384" s="18" t="s">
        <v>27</v>
      </c>
      <c r="I384" s="18"/>
      <c r="J384" s="30"/>
      <c r="K384" s="22" t="str">
        <f>+CONCATENATE(Tablo1710612131618202224[[#This Row],[DOSYA NO]],"_",Tablo1710612131618202224[[#This Row],[MÜŞTERİ ADI]],$P$10,"_",Tablo1710612131618202224[[#This Row],[İŞİN ADI]],"_",Tablo1710612131618202224[[#This Row],[İŞİN TÜRÜ]])</f>
        <v>20260203___ÖN HESAP SONUÇ FORMU</v>
      </c>
    </row>
    <row r="385" spans="1:11" s="22" customFormat="1" ht="24.95" customHeight="1" x14ac:dyDescent="0.25">
      <c r="A385" s="21">
        <v>46055</v>
      </c>
      <c r="B385" s="22">
        <v>20260204</v>
      </c>
      <c r="E385" s="22" t="s">
        <v>77</v>
      </c>
      <c r="F385" s="1" t="s">
        <v>6</v>
      </c>
      <c r="G385" s="26"/>
      <c r="H385" s="18" t="s">
        <v>27</v>
      </c>
      <c r="I385" s="18" t="s">
        <v>278</v>
      </c>
      <c r="J385" s="30"/>
      <c r="K385" s="22" t="str">
        <f>+CONCATENATE(Tablo1710612131618202224[[#This Row],[DOSYA NO]],"_",Tablo1710612131618202224[[#This Row],[MÜŞTERİ ADI]],$P$10,"_",Tablo1710612131618202224[[#This Row],[İŞİN ADI]],"_",Tablo1710612131618202224[[#This Row],[İŞİN TÜRÜ]])</f>
        <v>20260204___EKB ÇİZİM VE ONAYI</v>
      </c>
    </row>
    <row r="386" spans="1:11" s="22" customFormat="1" ht="24.95" customHeight="1" x14ac:dyDescent="0.25">
      <c r="A386" s="21">
        <v>46055</v>
      </c>
      <c r="B386" s="22">
        <v>20260205</v>
      </c>
      <c r="E386" s="22" t="s">
        <v>16</v>
      </c>
      <c r="F386" s="1" t="s">
        <v>5</v>
      </c>
      <c r="G386" s="26"/>
      <c r="H386" s="18" t="s">
        <v>27</v>
      </c>
      <c r="I386" s="18"/>
      <c r="J386" s="30"/>
      <c r="K386" s="22" t="str">
        <f>+CONCATENATE(Tablo1710612131618202224[[#This Row],[DOSYA NO]],"_",Tablo1710612131618202224[[#This Row],[MÜŞTERİ ADI]],$P$10,"_",Tablo1710612131618202224[[#This Row],[İŞİN ADI]],"_",Tablo1710612131618202224[[#This Row],[İŞİN TÜRÜ]])</f>
        <v>20260205___AKUSTİK RAPOR &amp; PROJE</v>
      </c>
    </row>
    <row r="387" spans="1:11" s="22" customFormat="1" ht="24.95" customHeight="1" x14ac:dyDescent="0.25">
      <c r="A387" s="21">
        <v>46055</v>
      </c>
      <c r="B387" s="22">
        <v>20260206</v>
      </c>
      <c r="E387" s="22" t="s">
        <v>62</v>
      </c>
      <c r="F387" s="1" t="s">
        <v>5</v>
      </c>
      <c r="G387" s="26"/>
      <c r="H387" s="18" t="s">
        <v>27</v>
      </c>
      <c r="I387" s="18"/>
      <c r="J387" s="30"/>
      <c r="K387" s="22" t="str">
        <f>+CONCATENATE(Tablo1710612131618202224[[#This Row],[DOSYA NO]],"_",Tablo1710612131618202224[[#This Row],[MÜŞTERİ ADI]],$P$10,"_",Tablo1710612131618202224[[#This Row],[İŞİN ADI]],"_",Tablo1710612131618202224[[#This Row],[İŞİN TÜRÜ]])</f>
        <v>20260206___EKB ÇİZİMİ</v>
      </c>
    </row>
    <row r="388" spans="1:11" s="22" customFormat="1" ht="24.95" customHeight="1" x14ac:dyDescent="0.25">
      <c r="A388" s="21">
        <v>46055</v>
      </c>
      <c r="B388" s="22">
        <v>20260207</v>
      </c>
      <c r="E388" s="22" t="s">
        <v>62</v>
      </c>
      <c r="F388" s="1" t="s">
        <v>5</v>
      </c>
      <c r="G388" s="26"/>
      <c r="H388" s="18" t="s">
        <v>27</v>
      </c>
      <c r="I388" s="18"/>
      <c r="J388" s="30"/>
      <c r="K388" s="22" t="str">
        <f>+CONCATENATE(Tablo1710612131618202224[[#This Row],[DOSYA NO]],"_",Tablo1710612131618202224[[#This Row],[MÜŞTERİ ADI]],$P$10,"_",Tablo1710612131618202224[[#This Row],[İŞİN ADI]],"_",Tablo1710612131618202224[[#This Row],[İŞİN TÜRÜ]])</f>
        <v>20260207___EKB ÇİZİMİ</v>
      </c>
    </row>
    <row r="389" spans="1:11" s="22" customFormat="1" ht="24.95" customHeight="1" x14ac:dyDescent="0.25">
      <c r="A389" s="21">
        <v>46055</v>
      </c>
      <c r="B389" s="22">
        <v>20260208</v>
      </c>
      <c r="E389" s="22" t="s">
        <v>17</v>
      </c>
      <c r="F389" s="1" t="s">
        <v>5</v>
      </c>
      <c r="G389" s="26"/>
      <c r="H389" s="18" t="s">
        <v>27</v>
      </c>
      <c r="I389" s="18"/>
      <c r="J389" s="30"/>
      <c r="K389" s="22" t="str">
        <f>+CONCATENATE(Tablo1710612131618202224[[#This Row],[DOSYA NO]],"_",Tablo1710612131618202224[[#This Row],[MÜŞTERİ ADI]],$P$10,"_",Tablo1710612131618202224[[#This Row],[İŞİN ADI]],"_",Tablo1710612131618202224[[#This Row],[İŞİN TÜRÜ]])</f>
        <v>20260208___ÖN HESAP SONUÇ FORMU</v>
      </c>
    </row>
    <row r="390" spans="1:11" s="22" customFormat="1" ht="24.95" customHeight="1" x14ac:dyDescent="0.25">
      <c r="A390" s="21">
        <v>46055</v>
      </c>
      <c r="B390" s="22">
        <v>20260209</v>
      </c>
      <c r="E390" s="22" t="s">
        <v>16</v>
      </c>
      <c r="F390" s="1" t="s">
        <v>5</v>
      </c>
      <c r="G390" s="26"/>
      <c r="H390" s="18" t="s">
        <v>27</v>
      </c>
      <c r="I390" s="18"/>
      <c r="J390" s="30"/>
      <c r="K390" s="22" t="str">
        <f>+CONCATENATE(Tablo1710612131618202224[[#This Row],[DOSYA NO]],"_",Tablo1710612131618202224[[#This Row],[MÜŞTERİ ADI]],$P$10,"_",Tablo1710612131618202224[[#This Row],[İŞİN ADI]],"_",Tablo1710612131618202224[[#This Row],[İŞİN TÜRÜ]])</f>
        <v>20260209___AKUSTİK RAPOR &amp; PROJE</v>
      </c>
    </row>
    <row r="391" spans="1:11" s="22" customFormat="1" ht="24.95" customHeight="1" x14ac:dyDescent="0.25">
      <c r="A391" s="21">
        <v>46055</v>
      </c>
      <c r="B391" s="22">
        <v>20260210</v>
      </c>
      <c r="E391" s="22" t="s">
        <v>17</v>
      </c>
      <c r="F391" s="1" t="s">
        <v>5</v>
      </c>
      <c r="G391" s="26"/>
      <c r="H391" s="18" t="s">
        <v>27</v>
      </c>
      <c r="I391" s="18"/>
      <c r="J391" s="30"/>
      <c r="K391" s="22" t="str">
        <f>+CONCATENATE(Tablo1710612131618202224[[#This Row],[DOSYA NO]],"_",Tablo1710612131618202224[[#This Row],[MÜŞTERİ ADI]],$P$10,"_",Tablo1710612131618202224[[#This Row],[İŞİN ADI]],"_",Tablo1710612131618202224[[#This Row],[İŞİN TÜRÜ]])</f>
        <v>20260210___ÖN HESAP SONUÇ FORMU</v>
      </c>
    </row>
    <row r="392" spans="1:11" s="22" customFormat="1" ht="24.95" customHeight="1" x14ac:dyDescent="0.25">
      <c r="A392" s="21">
        <v>46056</v>
      </c>
      <c r="B392" s="22">
        <v>20260211</v>
      </c>
      <c r="E392" s="22" t="s">
        <v>17</v>
      </c>
      <c r="F392" s="1" t="s">
        <v>5</v>
      </c>
      <c r="G392" s="26"/>
      <c r="H392" s="18" t="s">
        <v>27</v>
      </c>
      <c r="I392" s="18"/>
      <c r="J392" s="30"/>
      <c r="K392" s="22" t="str">
        <f>+CONCATENATE(Tablo1710612131618202224[[#This Row],[DOSYA NO]],"_",Tablo1710612131618202224[[#This Row],[MÜŞTERİ ADI]],$P$10,"_",Tablo1710612131618202224[[#This Row],[İŞİN ADI]],"_",Tablo1710612131618202224[[#This Row],[İŞİN TÜRÜ]])</f>
        <v>20260211___ÖN HESAP SONUÇ FORMU</v>
      </c>
    </row>
    <row r="393" spans="1:11" s="22" customFormat="1" ht="24.95" customHeight="1" x14ac:dyDescent="0.25">
      <c r="A393" s="21">
        <v>46056</v>
      </c>
      <c r="B393" s="22">
        <v>20260212</v>
      </c>
      <c r="E393" s="22" t="s">
        <v>16</v>
      </c>
      <c r="F393" s="1" t="s">
        <v>5</v>
      </c>
      <c r="G393" s="26"/>
      <c r="H393" s="18" t="s">
        <v>27</v>
      </c>
      <c r="I393" s="18"/>
      <c r="J393" s="30"/>
      <c r="K393" s="22" t="str">
        <f>+CONCATENATE(Tablo1710612131618202224[[#This Row],[DOSYA NO]],"_",Tablo1710612131618202224[[#This Row],[MÜŞTERİ ADI]],$P$10,"_",Tablo1710612131618202224[[#This Row],[İŞİN ADI]],"_",Tablo1710612131618202224[[#This Row],[İŞİN TÜRÜ]])</f>
        <v>20260212___AKUSTİK RAPOR &amp; PROJE</v>
      </c>
    </row>
    <row r="394" spans="1:11" s="22" customFormat="1" ht="24.95" customHeight="1" x14ac:dyDescent="0.25">
      <c r="A394" s="21">
        <v>46056</v>
      </c>
      <c r="B394" s="22">
        <v>20260213</v>
      </c>
      <c r="E394" s="22" t="s">
        <v>77</v>
      </c>
      <c r="F394" s="1" t="s">
        <v>6</v>
      </c>
      <c r="G394" s="26"/>
      <c r="H394" s="18" t="s">
        <v>27</v>
      </c>
      <c r="I394" s="18"/>
      <c r="J394" s="30"/>
      <c r="K394" s="22" t="str">
        <f>+CONCATENATE(Tablo1710612131618202224[[#This Row],[DOSYA NO]],"_",Tablo1710612131618202224[[#This Row],[MÜŞTERİ ADI]],$P$10,"_",Tablo1710612131618202224[[#This Row],[İŞİN ADI]],"_",Tablo1710612131618202224[[#This Row],[İŞİN TÜRÜ]])</f>
        <v>20260213___EKB ÇİZİM VE ONAYI</v>
      </c>
    </row>
    <row r="395" spans="1:11" s="22" customFormat="1" ht="24.95" customHeight="1" x14ac:dyDescent="0.25">
      <c r="A395" s="21">
        <v>46056</v>
      </c>
      <c r="B395" s="22">
        <v>20260214</v>
      </c>
      <c r="E395" s="22" t="s">
        <v>77</v>
      </c>
      <c r="F395" s="1" t="s">
        <v>6</v>
      </c>
      <c r="G395" s="26"/>
      <c r="H395" s="18" t="s">
        <v>27</v>
      </c>
      <c r="I395" s="18"/>
      <c r="J395" s="30"/>
      <c r="K395" s="22" t="str">
        <f>+CONCATENATE(Tablo1710612131618202224[[#This Row],[DOSYA NO]],"_",Tablo1710612131618202224[[#This Row],[MÜŞTERİ ADI]],$P$10,"_",Tablo1710612131618202224[[#This Row],[İŞİN ADI]],"_",Tablo1710612131618202224[[#This Row],[İŞİN TÜRÜ]])</f>
        <v>20260214___EKB ÇİZİM VE ONAYI</v>
      </c>
    </row>
    <row r="396" spans="1:11" s="22" customFormat="1" ht="24.95" customHeight="1" x14ac:dyDescent="0.25">
      <c r="A396" s="21">
        <v>46056</v>
      </c>
      <c r="B396" s="22">
        <v>20260215</v>
      </c>
      <c r="E396" s="22" t="s">
        <v>62</v>
      </c>
      <c r="F396" s="1" t="s">
        <v>5</v>
      </c>
      <c r="G396" s="26"/>
      <c r="H396" s="18" t="s">
        <v>27</v>
      </c>
      <c r="I396" s="18" t="s">
        <v>278</v>
      </c>
      <c r="J396" s="30"/>
      <c r="K396" s="22" t="str">
        <f>+CONCATENATE(Tablo1710612131618202224[[#This Row],[DOSYA NO]],"_",Tablo1710612131618202224[[#This Row],[MÜŞTERİ ADI]],$P$10,"_",Tablo1710612131618202224[[#This Row],[İŞİN ADI]],"_",Tablo1710612131618202224[[#This Row],[İŞİN TÜRÜ]])</f>
        <v>20260215___EKB ÇİZİMİ</v>
      </c>
    </row>
    <row r="397" spans="1:11" s="22" customFormat="1" ht="24.95" customHeight="1" x14ac:dyDescent="0.25">
      <c r="A397" s="21">
        <v>46056</v>
      </c>
      <c r="B397" s="22">
        <v>20260216</v>
      </c>
      <c r="E397" s="22" t="s">
        <v>16</v>
      </c>
      <c r="F397" s="1" t="s">
        <v>5</v>
      </c>
      <c r="G397" s="26"/>
      <c r="H397" s="18" t="s">
        <v>27</v>
      </c>
      <c r="I397" s="18"/>
      <c r="J397" s="30"/>
      <c r="K397" s="22" t="str">
        <f>+CONCATENATE(Tablo1710612131618202224[[#This Row],[DOSYA NO]],"_",Tablo1710612131618202224[[#This Row],[MÜŞTERİ ADI]],$P$10,"_",Tablo1710612131618202224[[#This Row],[İŞİN ADI]],"_",Tablo1710612131618202224[[#This Row],[İŞİN TÜRÜ]])</f>
        <v>20260216___AKUSTİK RAPOR &amp; PROJE</v>
      </c>
    </row>
    <row r="398" spans="1:11" s="22" customFormat="1" ht="24.95" customHeight="1" x14ac:dyDescent="0.25">
      <c r="A398" s="21">
        <v>46056</v>
      </c>
      <c r="B398" s="22">
        <v>20260217</v>
      </c>
      <c r="E398" s="22" t="s">
        <v>16</v>
      </c>
      <c r="F398" s="1" t="s">
        <v>5</v>
      </c>
      <c r="G398" s="26"/>
      <c r="H398" s="18" t="s">
        <v>27</v>
      </c>
      <c r="I398" s="18"/>
      <c r="J398" s="30"/>
      <c r="K398" s="22" t="str">
        <f>+CONCATENATE(Tablo1710612131618202224[[#This Row],[DOSYA NO]],"_",Tablo1710612131618202224[[#This Row],[MÜŞTERİ ADI]],$P$10,"_",Tablo1710612131618202224[[#This Row],[İŞİN ADI]],"_",Tablo1710612131618202224[[#This Row],[İŞİN TÜRÜ]])</f>
        <v>20260217___AKUSTİK RAPOR &amp; PROJE</v>
      </c>
    </row>
    <row r="399" spans="1:11" s="22" customFormat="1" ht="24.95" customHeight="1" x14ac:dyDescent="0.25">
      <c r="A399" s="21">
        <v>46056</v>
      </c>
      <c r="B399" s="22">
        <v>20260218</v>
      </c>
      <c r="E399" s="22" t="s">
        <v>77</v>
      </c>
      <c r="F399" s="1" t="s">
        <v>6</v>
      </c>
      <c r="G399" s="26"/>
      <c r="H399" s="18" t="s">
        <v>27</v>
      </c>
      <c r="I399" s="18"/>
      <c r="J399" s="30"/>
      <c r="K399" s="22" t="str">
        <f>+CONCATENATE(Tablo1710612131618202224[[#This Row],[DOSYA NO]],"_",Tablo1710612131618202224[[#This Row],[MÜŞTERİ ADI]],$P$10,"_",Tablo1710612131618202224[[#This Row],[İŞİN ADI]],"_",Tablo1710612131618202224[[#This Row],[İŞİN TÜRÜ]])</f>
        <v>20260218___EKB ÇİZİM VE ONAYI</v>
      </c>
    </row>
    <row r="400" spans="1:11" s="22" customFormat="1" ht="24.95" customHeight="1" x14ac:dyDescent="0.25">
      <c r="A400" s="21">
        <v>46056</v>
      </c>
      <c r="B400" s="22">
        <v>20260219</v>
      </c>
      <c r="E400" s="22" t="s">
        <v>77</v>
      </c>
      <c r="F400" s="1" t="s">
        <v>6</v>
      </c>
      <c r="G400" s="26"/>
      <c r="H400" s="18" t="s">
        <v>27</v>
      </c>
      <c r="I400" s="18" t="s">
        <v>347</v>
      </c>
      <c r="J400" s="30" t="s">
        <v>299</v>
      </c>
      <c r="K400" s="22" t="str">
        <f>+CONCATENATE(Tablo1710612131618202224[[#This Row],[DOSYA NO]],"_",Tablo1710612131618202224[[#This Row],[MÜŞTERİ ADI]],$P$10,"_",Tablo1710612131618202224[[#This Row],[İŞİN ADI]],"_",Tablo1710612131618202224[[#This Row],[İŞİN TÜRÜ]])</f>
        <v>20260219___EKB ÇİZİM VE ONAYI</v>
      </c>
    </row>
    <row r="401" spans="1:11" s="22" customFormat="1" ht="24.95" customHeight="1" x14ac:dyDescent="0.25">
      <c r="A401" s="21">
        <v>46056</v>
      </c>
      <c r="B401" s="22">
        <v>20260220</v>
      </c>
      <c r="E401" s="22" t="s">
        <v>62</v>
      </c>
      <c r="F401" s="1" t="s">
        <v>5</v>
      </c>
      <c r="G401" s="26"/>
      <c r="H401" s="18" t="s">
        <v>27</v>
      </c>
      <c r="I401" s="18"/>
      <c r="J401" s="30"/>
      <c r="K401" s="22" t="str">
        <f>+CONCATENATE(Tablo1710612131618202224[[#This Row],[DOSYA NO]],"_",Tablo1710612131618202224[[#This Row],[MÜŞTERİ ADI]],$P$10,"_",Tablo1710612131618202224[[#This Row],[İŞİN ADI]],"_",Tablo1710612131618202224[[#This Row],[İŞİN TÜRÜ]])</f>
        <v>20260220___EKB ÇİZİMİ</v>
      </c>
    </row>
    <row r="402" spans="1:11" s="22" customFormat="1" ht="24.95" customHeight="1" x14ac:dyDescent="0.25">
      <c r="A402" s="21">
        <v>46056</v>
      </c>
      <c r="B402" s="22">
        <v>20260221</v>
      </c>
      <c r="E402" s="22" t="s">
        <v>17</v>
      </c>
      <c r="F402" s="1" t="s">
        <v>5</v>
      </c>
      <c r="G402" s="26"/>
      <c r="H402" s="18" t="s">
        <v>27</v>
      </c>
      <c r="I402" s="18"/>
      <c r="J402" s="30"/>
      <c r="K402" s="22" t="str">
        <f>+CONCATENATE(Tablo1710612131618202224[[#This Row],[DOSYA NO]],"_",Tablo1710612131618202224[[#This Row],[MÜŞTERİ ADI]],$P$10,"_",Tablo1710612131618202224[[#This Row],[İŞİN ADI]],"_",Tablo1710612131618202224[[#This Row],[İŞİN TÜRÜ]])</f>
        <v>20260221___ÖN HESAP SONUÇ FORMU</v>
      </c>
    </row>
    <row r="403" spans="1:11" s="22" customFormat="1" ht="24.95" customHeight="1" x14ac:dyDescent="0.25">
      <c r="A403" s="21">
        <v>46056</v>
      </c>
      <c r="B403" s="22">
        <v>20260222</v>
      </c>
      <c r="E403" s="22" t="s">
        <v>16</v>
      </c>
      <c r="F403" s="1" t="s">
        <v>5</v>
      </c>
      <c r="G403" s="26"/>
      <c r="H403" s="18" t="s">
        <v>27</v>
      </c>
      <c r="I403" s="18"/>
      <c r="J403" s="30"/>
      <c r="K403" s="22" t="str">
        <f>+CONCATENATE(Tablo1710612131618202224[[#This Row],[DOSYA NO]],"_",Tablo1710612131618202224[[#This Row],[MÜŞTERİ ADI]],$P$10,"_",Tablo1710612131618202224[[#This Row],[İŞİN ADI]],"_",Tablo1710612131618202224[[#This Row],[İŞİN TÜRÜ]])</f>
        <v>20260222___AKUSTİK RAPOR &amp; PROJE</v>
      </c>
    </row>
    <row r="404" spans="1:11" s="22" customFormat="1" ht="24.95" customHeight="1" x14ac:dyDescent="0.25">
      <c r="A404" s="21">
        <v>46056</v>
      </c>
      <c r="B404" s="22">
        <v>20260223</v>
      </c>
      <c r="E404" s="22" t="s">
        <v>16</v>
      </c>
      <c r="F404" s="1" t="s">
        <v>6</v>
      </c>
      <c r="G404" s="26"/>
      <c r="H404" s="18" t="s">
        <v>27</v>
      </c>
      <c r="I404" s="18"/>
      <c r="J404" s="30"/>
      <c r="K404" s="22" t="str">
        <f>+CONCATENATE(Tablo1710612131618202224[[#This Row],[DOSYA NO]],"_",Tablo1710612131618202224[[#This Row],[MÜŞTERİ ADI]],$P$10,"_",Tablo1710612131618202224[[#This Row],[İŞİN ADI]],"_",Tablo1710612131618202224[[#This Row],[İŞİN TÜRÜ]])</f>
        <v>20260223___AKUSTİK RAPOR &amp; PROJE</v>
      </c>
    </row>
    <row r="405" spans="1:11" s="22" customFormat="1" ht="24.95" customHeight="1" x14ac:dyDescent="0.25">
      <c r="A405" s="21">
        <v>46056</v>
      </c>
      <c r="B405" s="22">
        <v>20260224</v>
      </c>
      <c r="E405" s="22" t="s">
        <v>16</v>
      </c>
      <c r="F405" s="1" t="s">
        <v>6</v>
      </c>
      <c r="G405" s="26"/>
      <c r="H405" s="18" t="s">
        <v>27</v>
      </c>
      <c r="I405" s="18"/>
      <c r="J405" s="30"/>
      <c r="K405" s="22" t="str">
        <f>+CONCATENATE(Tablo1710612131618202224[[#This Row],[DOSYA NO]],"_",Tablo1710612131618202224[[#This Row],[MÜŞTERİ ADI]],$P$10,"_",Tablo1710612131618202224[[#This Row],[İŞİN ADI]],"_",Tablo1710612131618202224[[#This Row],[İŞİN TÜRÜ]])</f>
        <v>20260224___AKUSTİK RAPOR &amp; PROJE</v>
      </c>
    </row>
    <row r="406" spans="1:11" s="22" customFormat="1" ht="24.95" customHeight="1" x14ac:dyDescent="0.25">
      <c r="A406" s="21">
        <v>46056</v>
      </c>
      <c r="B406" s="22">
        <v>20260225</v>
      </c>
      <c r="E406" s="22" t="s">
        <v>62</v>
      </c>
      <c r="F406" s="1" t="s">
        <v>5</v>
      </c>
      <c r="G406" s="26"/>
      <c r="H406" s="18" t="s">
        <v>27</v>
      </c>
      <c r="I406" s="18"/>
      <c r="J406" s="30"/>
      <c r="K406" s="22" t="str">
        <f>+CONCATENATE(Tablo1710612131618202224[[#This Row],[DOSYA NO]],"_",Tablo1710612131618202224[[#This Row],[MÜŞTERİ ADI]],$P$10,"_",Tablo1710612131618202224[[#This Row],[İŞİN ADI]],"_",Tablo1710612131618202224[[#This Row],[İŞİN TÜRÜ]])</f>
        <v>20260225___EKB ÇİZİMİ</v>
      </c>
    </row>
    <row r="407" spans="1:11" s="22" customFormat="1" ht="24.95" customHeight="1" x14ac:dyDescent="0.25">
      <c r="A407" s="21">
        <v>46056</v>
      </c>
      <c r="B407" s="22">
        <v>20260226</v>
      </c>
      <c r="E407" s="22" t="s">
        <v>17</v>
      </c>
      <c r="F407" s="1" t="s">
        <v>5</v>
      </c>
      <c r="G407" s="26"/>
      <c r="H407" s="18" t="s">
        <v>27</v>
      </c>
      <c r="I407" s="18"/>
      <c r="J407" s="30"/>
      <c r="K407" s="22" t="str">
        <f>+CONCATENATE(Tablo1710612131618202224[[#This Row],[DOSYA NO]],"_",Tablo1710612131618202224[[#This Row],[MÜŞTERİ ADI]],$P$10,"_",Tablo1710612131618202224[[#This Row],[İŞİN ADI]],"_",Tablo1710612131618202224[[#This Row],[İŞİN TÜRÜ]])</f>
        <v>20260226___ÖN HESAP SONUÇ FORMU</v>
      </c>
    </row>
    <row r="408" spans="1:11" s="22" customFormat="1" ht="24.95" customHeight="1" x14ac:dyDescent="0.25">
      <c r="A408" s="21">
        <v>46056</v>
      </c>
      <c r="B408" s="22">
        <v>20260227</v>
      </c>
      <c r="E408" s="22" t="s">
        <v>62</v>
      </c>
      <c r="F408" s="1" t="s">
        <v>5</v>
      </c>
      <c r="G408" s="26"/>
      <c r="H408" s="18" t="s">
        <v>27</v>
      </c>
      <c r="I408" s="18"/>
      <c r="J408" s="30"/>
      <c r="K408" s="22" t="str">
        <f>+CONCATENATE(Tablo1710612131618202224[[#This Row],[DOSYA NO]],"_",Tablo1710612131618202224[[#This Row],[MÜŞTERİ ADI]],$P$10,"_",Tablo1710612131618202224[[#This Row],[İŞİN ADI]],"_",Tablo1710612131618202224[[#This Row],[İŞİN TÜRÜ]])</f>
        <v>20260227___EKB ÇİZİMİ</v>
      </c>
    </row>
    <row r="409" spans="1:11" s="22" customFormat="1" ht="24.95" customHeight="1" x14ac:dyDescent="0.25">
      <c r="A409" s="21">
        <v>46057</v>
      </c>
      <c r="B409" s="22">
        <v>20260228</v>
      </c>
      <c r="E409" s="22" t="s">
        <v>62</v>
      </c>
      <c r="F409" s="1" t="s">
        <v>5</v>
      </c>
      <c r="G409" s="26"/>
      <c r="H409" s="18" t="s">
        <v>27</v>
      </c>
      <c r="I409" s="18"/>
      <c r="J409" s="30"/>
      <c r="K409" s="22" t="str">
        <f>+CONCATENATE(Tablo1710612131618202224[[#This Row],[DOSYA NO]],"_",Tablo1710612131618202224[[#This Row],[MÜŞTERİ ADI]],$P$10,"_",Tablo1710612131618202224[[#This Row],[İŞİN ADI]],"_",Tablo1710612131618202224[[#This Row],[İŞİN TÜRÜ]])</f>
        <v>20260228___EKB ÇİZİMİ</v>
      </c>
    </row>
    <row r="410" spans="1:11" s="22" customFormat="1" ht="24.95" customHeight="1" x14ac:dyDescent="0.25">
      <c r="A410" s="21">
        <v>46057</v>
      </c>
      <c r="B410" s="22">
        <v>20260229</v>
      </c>
      <c r="E410" s="22" t="s">
        <v>62</v>
      </c>
      <c r="F410" s="1" t="s">
        <v>5</v>
      </c>
      <c r="G410" s="26"/>
      <c r="H410" s="18" t="s">
        <v>27</v>
      </c>
      <c r="I410" s="18"/>
      <c r="J410" s="30"/>
      <c r="K410" s="22" t="str">
        <f>+CONCATENATE(Tablo1710612131618202224[[#This Row],[DOSYA NO]],"_",Tablo1710612131618202224[[#This Row],[MÜŞTERİ ADI]],$P$10,"_",Tablo1710612131618202224[[#This Row],[İŞİN ADI]],"_",Tablo1710612131618202224[[#This Row],[İŞİN TÜRÜ]])</f>
        <v>20260229___EKB ÇİZİMİ</v>
      </c>
    </row>
    <row r="411" spans="1:11" s="22" customFormat="1" ht="24.95" customHeight="1" x14ac:dyDescent="0.25">
      <c r="A411" s="21">
        <v>46057</v>
      </c>
      <c r="B411" s="22">
        <v>20260230</v>
      </c>
      <c r="E411" s="22" t="s">
        <v>17</v>
      </c>
      <c r="F411" s="1" t="s">
        <v>6</v>
      </c>
      <c r="G411" s="26"/>
      <c r="H411" s="18" t="s">
        <v>27</v>
      </c>
      <c r="I411" s="18"/>
      <c r="J411" s="30"/>
      <c r="K411" s="22" t="str">
        <f>+CONCATENATE(Tablo1710612131618202224[[#This Row],[DOSYA NO]],"_",Tablo1710612131618202224[[#This Row],[MÜŞTERİ ADI]],$P$10,"_",Tablo1710612131618202224[[#This Row],[İŞİN ADI]],"_",Tablo1710612131618202224[[#This Row],[İŞİN TÜRÜ]])</f>
        <v>20260230___ÖN HESAP SONUÇ FORMU</v>
      </c>
    </row>
    <row r="412" spans="1:11" s="22" customFormat="1" ht="24.95" customHeight="1" x14ac:dyDescent="0.25">
      <c r="A412" s="21">
        <v>46057</v>
      </c>
      <c r="B412" s="22">
        <v>20260231</v>
      </c>
      <c r="E412" s="22" t="s">
        <v>17</v>
      </c>
      <c r="F412" s="1" t="s">
        <v>6</v>
      </c>
      <c r="G412" s="26"/>
      <c r="H412" s="18" t="s">
        <v>27</v>
      </c>
      <c r="I412" s="18"/>
      <c r="J412" s="30"/>
      <c r="K412" s="22" t="str">
        <f>+CONCATENATE(Tablo1710612131618202224[[#This Row],[DOSYA NO]],"_",Tablo1710612131618202224[[#This Row],[MÜŞTERİ ADI]],$P$10,"_",Tablo1710612131618202224[[#This Row],[İŞİN ADI]],"_",Tablo1710612131618202224[[#This Row],[İŞİN TÜRÜ]])</f>
        <v>20260231___ÖN HESAP SONUÇ FORMU</v>
      </c>
    </row>
    <row r="413" spans="1:11" s="22" customFormat="1" ht="24.95" customHeight="1" x14ac:dyDescent="0.25">
      <c r="A413" s="21">
        <v>46057</v>
      </c>
      <c r="B413" s="22">
        <v>20260232</v>
      </c>
      <c r="E413" s="22" t="s">
        <v>16</v>
      </c>
      <c r="F413" s="1" t="s">
        <v>6</v>
      </c>
      <c r="G413" s="26"/>
      <c r="H413" s="18" t="s">
        <v>27</v>
      </c>
      <c r="I413" s="18"/>
      <c r="J413" s="30"/>
      <c r="K413" s="22" t="str">
        <f>+CONCATENATE(Tablo1710612131618202224[[#This Row],[DOSYA NO]],"_",Tablo1710612131618202224[[#This Row],[MÜŞTERİ ADI]],$P$10,"_",Tablo1710612131618202224[[#This Row],[İŞİN ADI]],"_",Tablo1710612131618202224[[#This Row],[İŞİN TÜRÜ]])</f>
        <v>20260232___AKUSTİK RAPOR &amp; PROJE</v>
      </c>
    </row>
    <row r="414" spans="1:11" s="22" customFormat="1" ht="24.95" customHeight="1" x14ac:dyDescent="0.25">
      <c r="A414" s="21">
        <v>46057</v>
      </c>
      <c r="B414" s="22">
        <v>20260233</v>
      </c>
      <c r="E414" s="22" t="s">
        <v>16</v>
      </c>
      <c r="F414" s="1" t="s">
        <v>6</v>
      </c>
      <c r="G414" s="26"/>
      <c r="H414" s="18" t="s">
        <v>27</v>
      </c>
      <c r="I414" s="18"/>
      <c r="J414" s="30"/>
      <c r="K414" s="22" t="str">
        <f>+CONCATENATE(Tablo1710612131618202224[[#This Row],[DOSYA NO]],"_",Tablo1710612131618202224[[#This Row],[MÜŞTERİ ADI]],$P$10,"_",Tablo1710612131618202224[[#This Row],[İŞİN ADI]],"_",Tablo1710612131618202224[[#This Row],[İŞİN TÜRÜ]])</f>
        <v>20260233___AKUSTİK RAPOR &amp; PROJE</v>
      </c>
    </row>
    <row r="415" spans="1:11" s="22" customFormat="1" ht="24.95" customHeight="1" x14ac:dyDescent="0.25">
      <c r="A415" s="21">
        <v>46057</v>
      </c>
      <c r="B415" s="22">
        <v>20260234</v>
      </c>
      <c r="E415" s="22" t="s">
        <v>17</v>
      </c>
      <c r="F415" s="1" t="s">
        <v>6</v>
      </c>
      <c r="G415" s="26"/>
      <c r="H415" s="18" t="s">
        <v>27</v>
      </c>
      <c r="I415" s="18"/>
      <c r="J415" s="30"/>
      <c r="K415" s="22" t="str">
        <f>+CONCATENATE(Tablo1710612131618202224[[#This Row],[DOSYA NO]],"_",Tablo1710612131618202224[[#This Row],[MÜŞTERİ ADI]],$P$10,"_",Tablo1710612131618202224[[#This Row],[İŞİN ADI]],"_",Tablo1710612131618202224[[#This Row],[İŞİN TÜRÜ]])</f>
        <v>20260234___ÖN HESAP SONUÇ FORMU</v>
      </c>
    </row>
    <row r="416" spans="1:11" s="22" customFormat="1" ht="24.95" customHeight="1" x14ac:dyDescent="0.25">
      <c r="A416" s="21">
        <v>46057</v>
      </c>
      <c r="B416" s="22">
        <v>20260235</v>
      </c>
      <c r="E416" s="22" t="s">
        <v>62</v>
      </c>
      <c r="F416" s="1" t="s">
        <v>6</v>
      </c>
      <c r="G416" s="26"/>
      <c r="H416" s="18" t="s">
        <v>27</v>
      </c>
      <c r="I416" s="18"/>
      <c r="J416" s="30"/>
      <c r="K416" s="22" t="str">
        <f>+CONCATENATE(Tablo1710612131618202224[[#This Row],[DOSYA NO]],"_",Tablo1710612131618202224[[#This Row],[MÜŞTERİ ADI]],$P$10,"_",Tablo1710612131618202224[[#This Row],[İŞİN ADI]],"_",Tablo1710612131618202224[[#This Row],[İŞİN TÜRÜ]])</f>
        <v>20260235___EKB ÇİZİMİ</v>
      </c>
    </row>
    <row r="417" spans="1:11" s="22" customFormat="1" ht="24.95" customHeight="1" x14ac:dyDescent="0.25">
      <c r="A417" s="21">
        <v>46057</v>
      </c>
      <c r="B417" s="22">
        <v>20260236</v>
      </c>
      <c r="E417" s="22" t="s">
        <v>77</v>
      </c>
      <c r="F417" s="1" t="s">
        <v>6</v>
      </c>
      <c r="G417" s="26"/>
      <c r="H417" s="18" t="s">
        <v>27</v>
      </c>
      <c r="I417" s="18"/>
      <c r="J417" s="30" t="s">
        <v>299</v>
      </c>
      <c r="K417" s="22" t="str">
        <f>+CONCATENATE(Tablo1710612131618202224[[#This Row],[DOSYA NO]],"_",Tablo1710612131618202224[[#This Row],[MÜŞTERİ ADI]],$P$10,"_",Tablo1710612131618202224[[#This Row],[İŞİN ADI]],"_",Tablo1710612131618202224[[#This Row],[İŞİN TÜRÜ]])</f>
        <v>20260236___EKB ÇİZİM VE ONAYI</v>
      </c>
    </row>
    <row r="418" spans="1:11" s="22" customFormat="1" ht="24.95" customHeight="1" x14ac:dyDescent="0.25">
      <c r="A418" s="21">
        <v>46057</v>
      </c>
      <c r="B418" s="22">
        <v>20260237</v>
      </c>
      <c r="E418" s="22" t="s">
        <v>62</v>
      </c>
      <c r="F418" s="1" t="s">
        <v>6</v>
      </c>
      <c r="G418" s="26"/>
      <c r="H418" s="18" t="s">
        <v>27</v>
      </c>
      <c r="I418" s="18" t="s">
        <v>278</v>
      </c>
      <c r="J418" s="30"/>
      <c r="K418" s="22" t="str">
        <f>+CONCATENATE(Tablo1710612131618202224[[#This Row],[DOSYA NO]],"_",Tablo1710612131618202224[[#This Row],[MÜŞTERİ ADI]],$P$10,"_",Tablo1710612131618202224[[#This Row],[İŞİN ADI]],"_",Tablo1710612131618202224[[#This Row],[İŞİN TÜRÜ]])</f>
        <v>20260237___EKB ÇİZİMİ</v>
      </c>
    </row>
    <row r="419" spans="1:11" s="22" customFormat="1" ht="24.95" customHeight="1" x14ac:dyDescent="0.25">
      <c r="A419" s="21">
        <v>46057</v>
      </c>
      <c r="B419" s="22">
        <v>20260238</v>
      </c>
      <c r="E419" s="22" t="s">
        <v>62</v>
      </c>
      <c r="F419" s="1" t="s">
        <v>6</v>
      </c>
      <c r="G419" s="26"/>
      <c r="H419" s="18" t="s">
        <v>27</v>
      </c>
      <c r="I419" s="18"/>
      <c r="J419" s="30"/>
      <c r="K419" s="22" t="str">
        <f>+CONCATENATE(Tablo1710612131618202224[[#This Row],[DOSYA NO]],"_",Tablo1710612131618202224[[#This Row],[MÜŞTERİ ADI]],$P$10,"_",Tablo1710612131618202224[[#This Row],[İŞİN ADI]],"_",Tablo1710612131618202224[[#This Row],[İŞİN TÜRÜ]])</f>
        <v>20260238___EKB ÇİZİMİ</v>
      </c>
    </row>
    <row r="420" spans="1:11" s="22" customFormat="1" ht="24.95" customHeight="1" x14ac:dyDescent="0.25">
      <c r="A420" s="21">
        <v>46057</v>
      </c>
      <c r="B420" s="22">
        <v>20260239</v>
      </c>
      <c r="E420" s="22" t="s">
        <v>62</v>
      </c>
      <c r="F420" s="1" t="s">
        <v>6</v>
      </c>
      <c r="G420" s="26"/>
      <c r="H420" s="18" t="s">
        <v>27</v>
      </c>
      <c r="I420" s="18"/>
      <c r="J420" s="30"/>
      <c r="K420" s="22" t="str">
        <f>+CONCATENATE(Tablo1710612131618202224[[#This Row],[DOSYA NO]],"_",Tablo1710612131618202224[[#This Row],[MÜŞTERİ ADI]],$P$10,"_",Tablo1710612131618202224[[#This Row],[İŞİN ADI]],"_",Tablo1710612131618202224[[#This Row],[İŞİN TÜRÜ]])</f>
        <v>20260239___EKB ÇİZİMİ</v>
      </c>
    </row>
    <row r="421" spans="1:11" s="22" customFormat="1" ht="24.95" customHeight="1" x14ac:dyDescent="0.25">
      <c r="A421" s="21">
        <v>46057</v>
      </c>
      <c r="B421" s="22">
        <v>20260240</v>
      </c>
      <c r="E421" s="22" t="s">
        <v>62</v>
      </c>
      <c r="F421" s="1" t="s">
        <v>6</v>
      </c>
      <c r="G421" s="26"/>
      <c r="H421" s="18" t="s">
        <v>27</v>
      </c>
      <c r="I421" s="18"/>
      <c r="J421" s="30"/>
      <c r="K421" s="22" t="str">
        <f>+CONCATENATE(Tablo1710612131618202224[[#This Row],[DOSYA NO]],"_",Tablo1710612131618202224[[#This Row],[MÜŞTERİ ADI]],$P$10,"_",Tablo1710612131618202224[[#This Row],[İŞİN ADI]],"_",Tablo1710612131618202224[[#This Row],[İŞİN TÜRÜ]])</f>
        <v>20260240___EKB ÇİZİMİ</v>
      </c>
    </row>
    <row r="422" spans="1:11" s="22" customFormat="1" ht="24.95" customHeight="1" x14ac:dyDescent="0.25">
      <c r="A422" s="21">
        <v>46057</v>
      </c>
      <c r="B422" s="22">
        <v>20260241</v>
      </c>
      <c r="E422" s="22" t="s">
        <v>17</v>
      </c>
      <c r="F422" s="1" t="s">
        <v>6</v>
      </c>
      <c r="G422" s="26"/>
      <c r="H422" s="18" t="s">
        <v>27</v>
      </c>
      <c r="I422" s="18"/>
      <c r="J422" s="30"/>
      <c r="K422" s="22" t="str">
        <f>+CONCATENATE(Tablo1710612131618202224[[#This Row],[DOSYA NO]],"_",Tablo1710612131618202224[[#This Row],[MÜŞTERİ ADI]],$P$10,"_",Tablo1710612131618202224[[#This Row],[İŞİN ADI]],"_",Tablo1710612131618202224[[#This Row],[İŞİN TÜRÜ]])</f>
        <v>20260241___ÖN HESAP SONUÇ FORMU</v>
      </c>
    </row>
    <row r="423" spans="1:11" s="22" customFormat="1" ht="24.95" customHeight="1" x14ac:dyDescent="0.25">
      <c r="A423" s="21">
        <v>46057</v>
      </c>
      <c r="B423" s="22">
        <v>20260242</v>
      </c>
      <c r="E423" s="22" t="s">
        <v>62</v>
      </c>
      <c r="F423" s="1" t="s">
        <v>6</v>
      </c>
      <c r="G423" s="26"/>
      <c r="H423" s="18" t="s">
        <v>27</v>
      </c>
      <c r="I423" s="18"/>
      <c r="J423" s="30"/>
      <c r="K423" s="22" t="str">
        <f>+CONCATENATE(Tablo1710612131618202224[[#This Row],[DOSYA NO]],"_",Tablo1710612131618202224[[#This Row],[MÜŞTERİ ADI]],$P$10,"_",Tablo1710612131618202224[[#This Row],[İŞİN ADI]],"_",Tablo1710612131618202224[[#This Row],[İŞİN TÜRÜ]])</f>
        <v>20260242___EKB ÇİZİMİ</v>
      </c>
    </row>
    <row r="424" spans="1:11" s="22" customFormat="1" ht="24.95" customHeight="1" x14ac:dyDescent="0.25">
      <c r="A424" s="21">
        <v>46057</v>
      </c>
      <c r="B424" s="22">
        <v>20260243</v>
      </c>
      <c r="E424" s="22" t="s">
        <v>62</v>
      </c>
      <c r="F424" s="1" t="s">
        <v>6</v>
      </c>
      <c r="G424" s="26"/>
      <c r="H424" s="18" t="s">
        <v>27</v>
      </c>
      <c r="I424" s="18"/>
      <c r="J424" s="30"/>
      <c r="K424" s="22" t="str">
        <f>+CONCATENATE(Tablo1710612131618202224[[#This Row],[DOSYA NO]],"_",Tablo1710612131618202224[[#This Row],[MÜŞTERİ ADI]],$P$10,"_",Tablo1710612131618202224[[#This Row],[İŞİN ADI]],"_",Tablo1710612131618202224[[#This Row],[İŞİN TÜRÜ]])</f>
        <v>20260243___EKB ÇİZİMİ</v>
      </c>
    </row>
    <row r="425" spans="1:11" s="22" customFormat="1" ht="24.95" customHeight="1" x14ac:dyDescent="0.25">
      <c r="A425" s="21">
        <v>46057</v>
      </c>
      <c r="B425" s="22">
        <v>20260244</v>
      </c>
      <c r="E425" s="22" t="s">
        <v>62</v>
      </c>
      <c r="F425" s="1" t="s">
        <v>6</v>
      </c>
      <c r="G425" s="26"/>
      <c r="H425" s="18" t="s">
        <v>27</v>
      </c>
      <c r="I425" s="18"/>
      <c r="J425" s="30"/>
      <c r="K425" s="22" t="str">
        <f>+CONCATENATE(Tablo1710612131618202224[[#This Row],[DOSYA NO]],"_",Tablo1710612131618202224[[#This Row],[MÜŞTERİ ADI]],$P$10,"_",Tablo1710612131618202224[[#This Row],[İŞİN ADI]],"_",Tablo1710612131618202224[[#This Row],[İŞİN TÜRÜ]])</f>
        <v>20260244___EKB ÇİZİMİ</v>
      </c>
    </row>
    <row r="426" spans="1:11" s="22" customFormat="1" ht="24.95" customHeight="1" x14ac:dyDescent="0.25">
      <c r="A426" s="21">
        <v>46057</v>
      </c>
      <c r="B426" s="22">
        <v>20260245</v>
      </c>
      <c r="E426" s="22" t="s">
        <v>62</v>
      </c>
      <c r="F426" s="1" t="s">
        <v>6</v>
      </c>
      <c r="G426" s="26"/>
      <c r="H426" s="18" t="s">
        <v>27</v>
      </c>
      <c r="I426" s="18"/>
      <c r="J426" s="30"/>
      <c r="K426" s="22" t="str">
        <f>+CONCATENATE(Tablo1710612131618202224[[#This Row],[DOSYA NO]],"_",Tablo1710612131618202224[[#This Row],[MÜŞTERİ ADI]],$P$10,"_",Tablo1710612131618202224[[#This Row],[İŞİN ADI]],"_",Tablo1710612131618202224[[#This Row],[İŞİN TÜRÜ]])</f>
        <v>20260245___EKB ÇİZİMİ</v>
      </c>
    </row>
    <row r="427" spans="1:11" s="22" customFormat="1" ht="24.95" customHeight="1" x14ac:dyDescent="0.25">
      <c r="A427" s="21">
        <v>46057</v>
      </c>
      <c r="B427" s="22">
        <v>20260246</v>
      </c>
      <c r="E427" s="22" t="s">
        <v>62</v>
      </c>
      <c r="F427" s="1" t="s">
        <v>6</v>
      </c>
      <c r="G427" s="26"/>
      <c r="H427" s="18" t="s">
        <v>27</v>
      </c>
      <c r="I427" s="18"/>
      <c r="J427" s="30"/>
      <c r="K427" s="22" t="str">
        <f>+CONCATENATE(Tablo1710612131618202224[[#This Row],[DOSYA NO]],"_",Tablo1710612131618202224[[#This Row],[MÜŞTERİ ADI]],$P$10,"_",Tablo1710612131618202224[[#This Row],[İŞİN ADI]],"_",Tablo1710612131618202224[[#This Row],[İŞİN TÜRÜ]])</f>
        <v>20260246___EKB ÇİZİMİ</v>
      </c>
    </row>
    <row r="428" spans="1:11" s="22" customFormat="1" ht="24.95" customHeight="1" x14ac:dyDescent="0.25">
      <c r="A428" s="21">
        <v>46057</v>
      </c>
      <c r="B428" s="22">
        <v>20260247</v>
      </c>
      <c r="E428" s="22" t="s">
        <v>62</v>
      </c>
      <c r="F428" s="1" t="s">
        <v>6</v>
      </c>
      <c r="G428" s="26"/>
      <c r="H428" s="18" t="s">
        <v>27</v>
      </c>
      <c r="I428" s="18"/>
      <c r="J428" s="30"/>
      <c r="K428" s="22" t="str">
        <f>+CONCATENATE(Tablo1710612131618202224[[#This Row],[DOSYA NO]],"_",Tablo1710612131618202224[[#This Row],[MÜŞTERİ ADI]],$P$10,"_",Tablo1710612131618202224[[#This Row],[İŞİN ADI]],"_",Tablo1710612131618202224[[#This Row],[İŞİN TÜRÜ]])</f>
        <v>20260247___EKB ÇİZİMİ</v>
      </c>
    </row>
    <row r="429" spans="1:11" s="22" customFormat="1" ht="24.95" customHeight="1" x14ac:dyDescent="0.25">
      <c r="A429" s="21">
        <v>46057</v>
      </c>
      <c r="B429" s="22">
        <v>20260248</v>
      </c>
      <c r="E429" s="22" t="s">
        <v>62</v>
      </c>
      <c r="F429" s="1" t="s">
        <v>6</v>
      </c>
      <c r="G429" s="26"/>
      <c r="H429" s="18" t="s">
        <v>27</v>
      </c>
      <c r="I429" s="18"/>
      <c r="J429" s="30"/>
      <c r="K429" s="22" t="str">
        <f>+CONCATENATE(Tablo1710612131618202224[[#This Row],[DOSYA NO]],"_",Tablo1710612131618202224[[#This Row],[MÜŞTERİ ADI]],$P$10,"_",Tablo1710612131618202224[[#This Row],[İŞİN ADI]],"_",Tablo1710612131618202224[[#This Row],[İŞİN TÜRÜ]])</f>
        <v>20260248___EKB ÇİZİMİ</v>
      </c>
    </row>
    <row r="430" spans="1:11" s="22" customFormat="1" ht="24.95" customHeight="1" x14ac:dyDescent="0.25">
      <c r="A430" s="21">
        <v>46057</v>
      </c>
      <c r="B430" s="22">
        <v>20260249</v>
      </c>
      <c r="E430" s="22" t="s">
        <v>62</v>
      </c>
      <c r="F430" s="1" t="s">
        <v>6</v>
      </c>
      <c r="G430" s="26"/>
      <c r="H430" s="18" t="s">
        <v>27</v>
      </c>
      <c r="I430" s="18"/>
      <c r="J430" s="30"/>
      <c r="K430" s="22" t="str">
        <f>+CONCATENATE(Tablo1710612131618202224[[#This Row],[DOSYA NO]],"_",Tablo1710612131618202224[[#This Row],[MÜŞTERİ ADI]],$P$10,"_",Tablo1710612131618202224[[#This Row],[İŞİN ADI]],"_",Tablo1710612131618202224[[#This Row],[İŞİN TÜRÜ]])</f>
        <v>20260249___EKB ÇİZİMİ</v>
      </c>
    </row>
    <row r="431" spans="1:11" s="22" customFormat="1" ht="24.95" customHeight="1" x14ac:dyDescent="0.25">
      <c r="A431" s="21">
        <v>46058</v>
      </c>
      <c r="B431" s="22">
        <v>20260250</v>
      </c>
      <c r="E431" s="22" t="s">
        <v>16</v>
      </c>
      <c r="F431" s="1" t="s">
        <v>6</v>
      </c>
      <c r="G431" s="26"/>
      <c r="H431" s="18" t="s">
        <v>27</v>
      </c>
      <c r="I431" s="18"/>
      <c r="J431" s="30"/>
      <c r="K431" s="22" t="str">
        <f>+CONCATENATE(Tablo1710612131618202224[[#This Row],[DOSYA NO]],"_",Tablo1710612131618202224[[#This Row],[MÜŞTERİ ADI]],$P$10,"_",Tablo1710612131618202224[[#This Row],[İŞİN ADI]],"_",Tablo1710612131618202224[[#This Row],[İŞİN TÜRÜ]])</f>
        <v>20260250___AKUSTİK RAPOR &amp; PROJE</v>
      </c>
    </row>
    <row r="432" spans="1:11" s="22" customFormat="1" ht="24.95" customHeight="1" x14ac:dyDescent="0.25">
      <c r="A432" s="21">
        <v>46058</v>
      </c>
      <c r="B432" s="22">
        <v>20260251</v>
      </c>
      <c r="E432" s="22" t="s">
        <v>16</v>
      </c>
      <c r="F432" s="1" t="s">
        <v>6</v>
      </c>
      <c r="G432" s="26"/>
      <c r="H432" s="18" t="s">
        <v>27</v>
      </c>
      <c r="I432" s="18"/>
      <c r="J432" s="30"/>
      <c r="K432" s="22" t="str">
        <f>+CONCATENATE(Tablo1710612131618202224[[#This Row],[DOSYA NO]],"_",Tablo1710612131618202224[[#This Row],[MÜŞTERİ ADI]],$P$10,"_",Tablo1710612131618202224[[#This Row],[İŞİN ADI]],"_",Tablo1710612131618202224[[#This Row],[İŞİN TÜRÜ]])</f>
        <v>20260251___AKUSTİK RAPOR &amp; PROJE</v>
      </c>
    </row>
    <row r="433" spans="1:11" s="22" customFormat="1" ht="24.95" customHeight="1" x14ac:dyDescent="0.25">
      <c r="A433" s="21">
        <v>46058</v>
      </c>
      <c r="B433" s="22">
        <v>20260252</v>
      </c>
      <c r="E433" s="22" t="s">
        <v>62</v>
      </c>
      <c r="F433" s="1" t="s">
        <v>6</v>
      </c>
      <c r="G433" s="26"/>
      <c r="H433" s="18" t="s">
        <v>27</v>
      </c>
      <c r="I433" s="18"/>
      <c r="J433" s="30"/>
      <c r="K433" s="22" t="str">
        <f>+CONCATENATE(Tablo1710612131618202224[[#This Row],[DOSYA NO]],"_",Tablo1710612131618202224[[#This Row],[MÜŞTERİ ADI]],$P$10,"_",Tablo1710612131618202224[[#This Row],[İŞİN ADI]],"_",Tablo1710612131618202224[[#This Row],[İŞİN TÜRÜ]])</f>
        <v>20260252___EKB ÇİZİMİ</v>
      </c>
    </row>
    <row r="434" spans="1:11" s="22" customFormat="1" ht="24.95" customHeight="1" x14ac:dyDescent="0.25">
      <c r="A434" s="21">
        <v>46058</v>
      </c>
      <c r="B434" s="22">
        <v>20260253</v>
      </c>
      <c r="E434" s="22" t="s">
        <v>17</v>
      </c>
      <c r="F434" s="1" t="s">
        <v>6</v>
      </c>
      <c r="G434" s="26"/>
      <c r="H434" s="18" t="s">
        <v>27</v>
      </c>
      <c r="I434" s="18"/>
      <c r="J434" s="30"/>
      <c r="K434" s="22" t="str">
        <f>+CONCATENATE(Tablo1710612131618202224[[#This Row],[DOSYA NO]],"_",Tablo1710612131618202224[[#This Row],[MÜŞTERİ ADI]],$P$10,"_",Tablo1710612131618202224[[#This Row],[İŞİN ADI]],"_",Tablo1710612131618202224[[#This Row],[İŞİN TÜRÜ]])</f>
        <v>20260253___ÖN HESAP SONUÇ FORMU</v>
      </c>
    </row>
    <row r="435" spans="1:11" s="22" customFormat="1" ht="24.95" customHeight="1" x14ac:dyDescent="0.25">
      <c r="A435" s="21">
        <v>46058</v>
      </c>
      <c r="B435" s="22">
        <v>20260254</v>
      </c>
      <c r="E435" s="22" t="s">
        <v>62</v>
      </c>
      <c r="F435" s="1" t="s">
        <v>6</v>
      </c>
      <c r="G435" s="26"/>
      <c r="H435" s="18" t="s">
        <v>27</v>
      </c>
      <c r="I435" s="18"/>
      <c r="J435" s="30"/>
      <c r="K435" s="22" t="str">
        <f>+CONCATENATE(Tablo1710612131618202224[[#This Row],[DOSYA NO]],"_",Tablo1710612131618202224[[#This Row],[MÜŞTERİ ADI]],$P$10,"_",Tablo1710612131618202224[[#This Row],[İŞİN ADI]],"_",Tablo1710612131618202224[[#This Row],[İŞİN TÜRÜ]])</f>
        <v>20260254___EKB ÇİZİMİ</v>
      </c>
    </row>
    <row r="436" spans="1:11" s="22" customFormat="1" ht="24.95" customHeight="1" x14ac:dyDescent="0.25">
      <c r="A436" s="21">
        <v>46058</v>
      </c>
      <c r="B436" s="22">
        <v>20260255</v>
      </c>
      <c r="E436" s="22" t="s">
        <v>17</v>
      </c>
      <c r="F436" s="1" t="s">
        <v>6</v>
      </c>
      <c r="G436" s="26"/>
      <c r="H436" s="18" t="s">
        <v>27</v>
      </c>
      <c r="I436" s="18"/>
      <c r="J436" s="30"/>
      <c r="K436" s="22" t="str">
        <f>+CONCATENATE(Tablo1710612131618202224[[#This Row],[DOSYA NO]],"_",Tablo1710612131618202224[[#This Row],[MÜŞTERİ ADI]],$P$10,"_",Tablo1710612131618202224[[#This Row],[İŞİN ADI]],"_",Tablo1710612131618202224[[#This Row],[İŞİN TÜRÜ]])</f>
        <v>20260255___ÖN HESAP SONUÇ FORMU</v>
      </c>
    </row>
    <row r="437" spans="1:11" s="22" customFormat="1" ht="24.95" customHeight="1" x14ac:dyDescent="0.25">
      <c r="A437" s="21">
        <v>46058</v>
      </c>
      <c r="B437" s="22">
        <v>20260256</v>
      </c>
      <c r="E437" s="22" t="s">
        <v>16</v>
      </c>
      <c r="F437" s="1" t="s">
        <v>6</v>
      </c>
      <c r="G437" s="26"/>
      <c r="H437" s="18" t="s">
        <v>27</v>
      </c>
      <c r="I437" s="18"/>
      <c r="J437" s="30"/>
      <c r="K437" s="22" t="str">
        <f>+CONCATENATE(Tablo1710612131618202224[[#This Row],[DOSYA NO]],"_",Tablo1710612131618202224[[#This Row],[MÜŞTERİ ADI]],$P$10,"_",Tablo1710612131618202224[[#This Row],[İŞİN ADI]],"_",Tablo1710612131618202224[[#This Row],[İŞİN TÜRÜ]])</f>
        <v>20260256___AKUSTİK RAPOR &amp; PROJE</v>
      </c>
    </row>
    <row r="438" spans="1:11" s="22" customFormat="1" ht="24.95" customHeight="1" x14ac:dyDescent="0.25">
      <c r="A438" s="21">
        <v>46058</v>
      </c>
      <c r="B438" s="22">
        <v>20260257</v>
      </c>
      <c r="E438" s="22" t="s">
        <v>62</v>
      </c>
      <c r="F438" s="1" t="s">
        <v>6</v>
      </c>
      <c r="G438" s="26"/>
      <c r="H438" s="18" t="s">
        <v>27</v>
      </c>
      <c r="I438" s="18"/>
      <c r="J438" s="30"/>
      <c r="K438" s="22" t="str">
        <f>+CONCATENATE(Tablo1710612131618202224[[#This Row],[DOSYA NO]],"_",Tablo1710612131618202224[[#This Row],[MÜŞTERİ ADI]],$P$10,"_",Tablo1710612131618202224[[#This Row],[İŞİN ADI]],"_",Tablo1710612131618202224[[#This Row],[İŞİN TÜRÜ]])</f>
        <v>20260257___EKB ÇİZİMİ</v>
      </c>
    </row>
    <row r="439" spans="1:11" s="22" customFormat="1" ht="24.95" customHeight="1" x14ac:dyDescent="0.25">
      <c r="A439" s="21">
        <v>46058</v>
      </c>
      <c r="B439" s="22">
        <v>20260258</v>
      </c>
      <c r="E439" s="22" t="s">
        <v>17</v>
      </c>
      <c r="F439" s="1" t="s">
        <v>6</v>
      </c>
      <c r="G439" s="26"/>
      <c r="H439" s="18" t="s">
        <v>27</v>
      </c>
      <c r="I439" s="18"/>
      <c r="J439" s="30"/>
      <c r="K439" s="22" t="str">
        <f>+CONCATENATE(Tablo1710612131618202224[[#This Row],[DOSYA NO]],"_",Tablo1710612131618202224[[#This Row],[MÜŞTERİ ADI]],$P$10,"_",Tablo1710612131618202224[[#This Row],[İŞİN ADI]],"_",Tablo1710612131618202224[[#This Row],[İŞİN TÜRÜ]])</f>
        <v>20260258___ÖN HESAP SONUÇ FORMU</v>
      </c>
    </row>
    <row r="440" spans="1:11" s="22" customFormat="1" ht="24.95" customHeight="1" x14ac:dyDescent="0.25">
      <c r="A440" s="21">
        <v>46058</v>
      </c>
      <c r="B440" s="22">
        <v>20260259</v>
      </c>
      <c r="E440" s="22" t="s">
        <v>16</v>
      </c>
      <c r="F440" s="1" t="s">
        <v>6</v>
      </c>
      <c r="G440" s="26"/>
      <c r="H440" s="18" t="s">
        <v>27</v>
      </c>
      <c r="I440" s="18"/>
      <c r="J440" s="30"/>
      <c r="K440" s="22" t="str">
        <f>+CONCATENATE(Tablo1710612131618202224[[#This Row],[DOSYA NO]],"_",Tablo1710612131618202224[[#This Row],[MÜŞTERİ ADI]],$P$10,"_",Tablo1710612131618202224[[#This Row],[İŞİN ADI]],"_",Tablo1710612131618202224[[#This Row],[İŞİN TÜRÜ]])</f>
        <v>20260259___AKUSTİK RAPOR &amp; PROJE</v>
      </c>
    </row>
    <row r="441" spans="1:11" s="22" customFormat="1" ht="24.95" customHeight="1" x14ac:dyDescent="0.25">
      <c r="A441" s="21">
        <v>46058</v>
      </c>
      <c r="B441" s="22">
        <v>20260260</v>
      </c>
      <c r="E441" s="22" t="s">
        <v>62</v>
      </c>
      <c r="F441" s="1" t="s">
        <v>6</v>
      </c>
      <c r="G441" s="26"/>
      <c r="H441" s="18" t="s">
        <v>27</v>
      </c>
      <c r="I441" s="18"/>
      <c r="J441" s="30"/>
      <c r="K441" s="22" t="str">
        <f>+CONCATENATE(Tablo1710612131618202224[[#This Row],[DOSYA NO]],"_",Tablo1710612131618202224[[#This Row],[MÜŞTERİ ADI]],$P$10,"_",Tablo1710612131618202224[[#This Row],[İŞİN ADI]],"_",Tablo1710612131618202224[[#This Row],[İŞİN TÜRÜ]])</f>
        <v>20260260___EKB ÇİZİMİ</v>
      </c>
    </row>
    <row r="442" spans="1:11" s="22" customFormat="1" ht="24.95" customHeight="1" x14ac:dyDescent="0.25">
      <c r="A442" s="21">
        <v>46058</v>
      </c>
      <c r="B442" s="22">
        <v>20260261</v>
      </c>
      <c r="E442" s="22" t="s">
        <v>62</v>
      </c>
      <c r="F442" s="1" t="s">
        <v>6</v>
      </c>
      <c r="G442" s="26"/>
      <c r="H442" s="18" t="s">
        <v>27</v>
      </c>
      <c r="I442" s="18"/>
      <c r="J442" s="30"/>
      <c r="K442" s="22" t="str">
        <f>+CONCATENATE(Tablo1710612131618202224[[#This Row],[DOSYA NO]],"_",Tablo1710612131618202224[[#This Row],[MÜŞTERİ ADI]],$P$10,"_",Tablo1710612131618202224[[#This Row],[İŞİN ADI]],"_",Tablo1710612131618202224[[#This Row],[İŞİN TÜRÜ]])</f>
        <v>20260261___EKB ÇİZİMİ</v>
      </c>
    </row>
    <row r="443" spans="1:11" s="22" customFormat="1" ht="24.95" customHeight="1" x14ac:dyDescent="0.25">
      <c r="A443" s="21">
        <v>46058</v>
      </c>
      <c r="B443" s="22">
        <v>20260262</v>
      </c>
      <c r="E443" s="22" t="s">
        <v>62</v>
      </c>
      <c r="F443" s="1" t="s">
        <v>6</v>
      </c>
      <c r="G443" s="26"/>
      <c r="H443" s="18" t="s">
        <v>27</v>
      </c>
      <c r="I443" s="18"/>
      <c r="J443" s="30"/>
      <c r="K443" s="22" t="str">
        <f>+CONCATENATE(Tablo1710612131618202224[[#This Row],[DOSYA NO]],"_",Tablo1710612131618202224[[#This Row],[MÜŞTERİ ADI]],$P$10,"_",Tablo1710612131618202224[[#This Row],[İŞİN ADI]],"_",Tablo1710612131618202224[[#This Row],[İŞİN TÜRÜ]])</f>
        <v>20260262___EKB ÇİZİMİ</v>
      </c>
    </row>
    <row r="444" spans="1:11" s="22" customFormat="1" ht="24.95" customHeight="1" x14ac:dyDescent="0.25">
      <c r="A444" s="21">
        <v>46058</v>
      </c>
      <c r="B444" s="22">
        <v>20260263</v>
      </c>
      <c r="E444" s="22" t="s">
        <v>62</v>
      </c>
      <c r="F444" s="1" t="s">
        <v>6</v>
      </c>
      <c r="G444" s="26"/>
      <c r="H444" s="18" t="s">
        <v>27</v>
      </c>
      <c r="I444" s="18"/>
      <c r="J444" s="30"/>
      <c r="K444" s="22" t="str">
        <f>+CONCATENATE(Tablo1710612131618202224[[#This Row],[DOSYA NO]],"_",Tablo1710612131618202224[[#This Row],[MÜŞTERİ ADI]],$P$10,"_",Tablo1710612131618202224[[#This Row],[İŞİN ADI]],"_",Tablo1710612131618202224[[#This Row],[İŞİN TÜRÜ]])</f>
        <v>20260263___EKB ÇİZİMİ</v>
      </c>
    </row>
    <row r="445" spans="1:11" s="22" customFormat="1" ht="24.95" customHeight="1" x14ac:dyDescent="0.25">
      <c r="A445" s="21">
        <v>46058</v>
      </c>
      <c r="B445" s="22">
        <v>20260264</v>
      </c>
      <c r="E445" s="22" t="s">
        <v>62</v>
      </c>
      <c r="F445" s="1" t="s">
        <v>6</v>
      </c>
      <c r="G445" s="26"/>
      <c r="H445" s="18" t="s">
        <v>27</v>
      </c>
      <c r="I445" s="18"/>
      <c r="J445" s="30"/>
      <c r="K445" s="22" t="str">
        <f>+CONCATENATE(Tablo1710612131618202224[[#This Row],[DOSYA NO]],"_",Tablo1710612131618202224[[#This Row],[MÜŞTERİ ADI]],$P$10,"_",Tablo1710612131618202224[[#This Row],[İŞİN ADI]],"_",Tablo1710612131618202224[[#This Row],[İŞİN TÜRÜ]])</f>
        <v>20260264___EKB ÇİZİMİ</v>
      </c>
    </row>
    <row r="446" spans="1:11" s="22" customFormat="1" ht="24.95" customHeight="1" x14ac:dyDescent="0.25">
      <c r="A446" s="21">
        <v>46058</v>
      </c>
      <c r="B446" s="22">
        <v>20260265</v>
      </c>
      <c r="E446" s="22" t="s">
        <v>77</v>
      </c>
      <c r="F446" s="1" t="s">
        <v>6</v>
      </c>
      <c r="G446" s="26"/>
      <c r="H446" s="18" t="s">
        <v>27</v>
      </c>
      <c r="I446" s="18"/>
      <c r="J446" s="30"/>
      <c r="K446" s="22" t="str">
        <f>+CONCATENATE(Tablo1710612131618202224[[#This Row],[DOSYA NO]],"_",Tablo1710612131618202224[[#This Row],[MÜŞTERİ ADI]],$P$10,"_",Tablo1710612131618202224[[#This Row],[İŞİN ADI]],"_",Tablo1710612131618202224[[#This Row],[İŞİN TÜRÜ]])</f>
        <v>20260265___EKB ÇİZİM VE ONAYI</v>
      </c>
    </row>
    <row r="447" spans="1:11" s="22" customFormat="1" ht="24.95" customHeight="1" x14ac:dyDescent="0.25">
      <c r="A447" s="21">
        <v>46059</v>
      </c>
      <c r="B447" s="22">
        <v>20260266</v>
      </c>
      <c r="E447" s="22" t="s">
        <v>17</v>
      </c>
      <c r="F447" s="1" t="s">
        <v>6</v>
      </c>
      <c r="G447" s="26"/>
      <c r="H447" s="18" t="s">
        <v>27</v>
      </c>
      <c r="I447" s="18"/>
      <c r="J447" s="30"/>
      <c r="K447" s="22" t="str">
        <f>+CONCATENATE(Tablo1710612131618202224[[#This Row],[DOSYA NO]],"_",Tablo1710612131618202224[[#This Row],[MÜŞTERİ ADI]],$P$10,"_",Tablo1710612131618202224[[#This Row],[İŞİN ADI]],"_",Tablo1710612131618202224[[#This Row],[İŞİN TÜRÜ]])</f>
        <v>20260266___ÖN HESAP SONUÇ FORMU</v>
      </c>
    </row>
    <row r="448" spans="1:11" s="22" customFormat="1" ht="24.95" customHeight="1" x14ac:dyDescent="0.25">
      <c r="A448" s="21">
        <v>46059</v>
      </c>
      <c r="B448" s="22">
        <v>20260267</v>
      </c>
      <c r="E448" s="22" t="s">
        <v>16</v>
      </c>
      <c r="F448" s="1" t="s">
        <v>6</v>
      </c>
      <c r="G448" s="26"/>
      <c r="H448" s="18" t="s">
        <v>27</v>
      </c>
      <c r="I448" s="18"/>
      <c r="J448" s="30"/>
      <c r="K448" s="22" t="str">
        <f>+CONCATENATE(Tablo1710612131618202224[[#This Row],[DOSYA NO]],"_",Tablo1710612131618202224[[#This Row],[MÜŞTERİ ADI]],$P$10,"_",Tablo1710612131618202224[[#This Row],[İŞİN ADI]],"_",Tablo1710612131618202224[[#This Row],[İŞİN TÜRÜ]])</f>
        <v>20260267___AKUSTİK RAPOR &amp; PROJE</v>
      </c>
    </row>
    <row r="449" spans="1:11" s="22" customFormat="1" ht="24.95" customHeight="1" x14ac:dyDescent="0.25">
      <c r="A449" s="21">
        <v>46059</v>
      </c>
      <c r="B449" s="22">
        <v>20260268</v>
      </c>
      <c r="E449" s="22" t="s">
        <v>16</v>
      </c>
      <c r="F449" s="1" t="s">
        <v>6</v>
      </c>
      <c r="G449" s="26"/>
      <c r="H449" s="18" t="s">
        <v>27</v>
      </c>
      <c r="I449" s="18"/>
      <c r="J449" s="30"/>
      <c r="K449" s="22" t="str">
        <f>+CONCATENATE(Tablo1710612131618202224[[#This Row],[DOSYA NO]],"_",Tablo1710612131618202224[[#This Row],[MÜŞTERİ ADI]],$P$10,"_",Tablo1710612131618202224[[#This Row],[İŞİN ADI]],"_",Tablo1710612131618202224[[#This Row],[İŞİN TÜRÜ]])</f>
        <v>20260268___AKUSTİK RAPOR &amp; PROJE</v>
      </c>
    </row>
    <row r="450" spans="1:11" s="22" customFormat="1" ht="24.95" customHeight="1" x14ac:dyDescent="0.25">
      <c r="A450" s="21">
        <v>46059</v>
      </c>
      <c r="B450" s="22">
        <v>20260269</v>
      </c>
      <c r="E450" s="22" t="s">
        <v>16</v>
      </c>
      <c r="F450" s="1" t="s">
        <v>6</v>
      </c>
      <c r="G450" s="26"/>
      <c r="H450" s="18" t="s">
        <v>27</v>
      </c>
      <c r="I450" s="18"/>
      <c r="J450" s="30"/>
      <c r="K450" s="22" t="str">
        <f>+CONCATENATE(Tablo1710612131618202224[[#This Row],[DOSYA NO]],"_",Tablo1710612131618202224[[#This Row],[MÜŞTERİ ADI]],$P$10,"_",Tablo1710612131618202224[[#This Row],[İŞİN ADI]],"_",Tablo1710612131618202224[[#This Row],[İŞİN TÜRÜ]])</f>
        <v>20260269___AKUSTİK RAPOR &amp; PROJE</v>
      </c>
    </row>
    <row r="451" spans="1:11" s="22" customFormat="1" ht="24.95" customHeight="1" x14ac:dyDescent="0.25">
      <c r="A451" s="21">
        <v>46059</v>
      </c>
      <c r="B451" s="22">
        <v>20260270</v>
      </c>
      <c r="E451" s="22" t="s">
        <v>16</v>
      </c>
      <c r="F451" s="1" t="s">
        <v>6</v>
      </c>
      <c r="G451" s="26"/>
      <c r="H451" s="18" t="s">
        <v>27</v>
      </c>
      <c r="I451" s="18"/>
      <c r="J451" s="30"/>
      <c r="K451" s="22" t="str">
        <f>+CONCATENATE(Tablo1710612131618202224[[#This Row],[DOSYA NO]],"_",Tablo1710612131618202224[[#This Row],[MÜŞTERİ ADI]],$P$10,"_",Tablo1710612131618202224[[#This Row],[İŞİN ADI]],"_",Tablo1710612131618202224[[#This Row],[İŞİN TÜRÜ]])</f>
        <v>20260270___AKUSTİK RAPOR &amp; PROJE</v>
      </c>
    </row>
    <row r="452" spans="1:11" s="22" customFormat="1" ht="24.95" customHeight="1" x14ac:dyDescent="0.25">
      <c r="A452" s="21">
        <v>46059</v>
      </c>
      <c r="B452" s="22">
        <v>20260271</v>
      </c>
      <c r="E452" s="22" t="s">
        <v>17</v>
      </c>
      <c r="F452" s="1" t="s">
        <v>6</v>
      </c>
      <c r="G452" s="26"/>
      <c r="H452" s="18" t="s">
        <v>27</v>
      </c>
      <c r="I452" s="18"/>
      <c r="J452" s="30"/>
      <c r="K452" s="22" t="str">
        <f>+CONCATENATE(Tablo1710612131618202224[[#This Row],[DOSYA NO]],"_",Tablo1710612131618202224[[#This Row],[MÜŞTERİ ADI]],$P$10,"_",Tablo1710612131618202224[[#This Row],[İŞİN ADI]],"_",Tablo1710612131618202224[[#This Row],[İŞİN TÜRÜ]])</f>
        <v>20260271___ÖN HESAP SONUÇ FORMU</v>
      </c>
    </row>
    <row r="453" spans="1:11" s="22" customFormat="1" ht="24.95" customHeight="1" x14ac:dyDescent="0.25">
      <c r="A453" s="21">
        <v>46059</v>
      </c>
      <c r="B453" s="22">
        <v>20260272</v>
      </c>
      <c r="E453" s="22" t="s">
        <v>16</v>
      </c>
      <c r="F453" s="1" t="s">
        <v>6</v>
      </c>
      <c r="G453" s="26"/>
      <c r="H453" s="18" t="s">
        <v>27</v>
      </c>
      <c r="I453" s="18"/>
      <c r="J453" s="30"/>
      <c r="K453" s="22" t="str">
        <f>+CONCATENATE(Tablo1710612131618202224[[#This Row],[DOSYA NO]],"_",Tablo1710612131618202224[[#This Row],[MÜŞTERİ ADI]],$P$10,"_",Tablo1710612131618202224[[#This Row],[İŞİN ADI]],"_",Tablo1710612131618202224[[#This Row],[İŞİN TÜRÜ]])</f>
        <v>20260272___AKUSTİK RAPOR &amp; PROJE</v>
      </c>
    </row>
    <row r="454" spans="1:11" s="22" customFormat="1" ht="24.95" customHeight="1" x14ac:dyDescent="0.25">
      <c r="A454" s="21">
        <v>46059</v>
      </c>
      <c r="B454" s="22">
        <v>20260273</v>
      </c>
      <c r="E454" s="22" t="s">
        <v>77</v>
      </c>
      <c r="F454" s="1" t="s">
        <v>6</v>
      </c>
      <c r="G454" s="26"/>
      <c r="H454" s="18" t="s">
        <v>27</v>
      </c>
      <c r="I454" s="18"/>
      <c r="J454" s="30" t="s">
        <v>299</v>
      </c>
      <c r="K454" s="22" t="str">
        <f>+CONCATENATE(Tablo1710612131618202224[[#This Row],[DOSYA NO]],"_",Tablo1710612131618202224[[#This Row],[MÜŞTERİ ADI]],$P$10,"_",Tablo1710612131618202224[[#This Row],[İŞİN ADI]],"_",Tablo1710612131618202224[[#This Row],[İŞİN TÜRÜ]])</f>
        <v>20260273___EKB ÇİZİM VE ONAYI</v>
      </c>
    </row>
    <row r="455" spans="1:11" s="22" customFormat="1" ht="24.95" customHeight="1" x14ac:dyDescent="0.25">
      <c r="A455" s="21">
        <v>46059</v>
      </c>
      <c r="B455" s="22">
        <v>20260274</v>
      </c>
      <c r="E455" s="22" t="s">
        <v>62</v>
      </c>
      <c r="F455" s="1" t="s">
        <v>6</v>
      </c>
      <c r="G455" s="26"/>
      <c r="H455" s="18" t="s">
        <v>27</v>
      </c>
      <c r="I455" s="18"/>
      <c r="J455" s="30"/>
      <c r="K455" s="22" t="str">
        <f>+CONCATENATE(Tablo1710612131618202224[[#This Row],[DOSYA NO]],"_",Tablo1710612131618202224[[#This Row],[MÜŞTERİ ADI]],$P$10,"_",Tablo1710612131618202224[[#This Row],[İŞİN ADI]],"_",Tablo1710612131618202224[[#This Row],[İŞİN TÜRÜ]])</f>
        <v>20260274___EKB ÇİZİMİ</v>
      </c>
    </row>
    <row r="456" spans="1:11" s="22" customFormat="1" ht="24.95" customHeight="1" x14ac:dyDescent="0.25">
      <c r="A456" s="21">
        <v>46059</v>
      </c>
      <c r="B456" s="22">
        <v>20260275</v>
      </c>
      <c r="E456" s="22" t="s">
        <v>17</v>
      </c>
      <c r="F456" s="1" t="s">
        <v>6</v>
      </c>
      <c r="G456" s="26"/>
      <c r="H456" s="18" t="s">
        <v>27</v>
      </c>
      <c r="I456" s="18"/>
      <c r="J456" s="30"/>
      <c r="K456" s="22" t="str">
        <f>+CONCATENATE(Tablo1710612131618202224[[#This Row],[DOSYA NO]],"_",Tablo1710612131618202224[[#This Row],[MÜŞTERİ ADI]],$P$10,"_",Tablo1710612131618202224[[#This Row],[İŞİN ADI]],"_",Tablo1710612131618202224[[#This Row],[İŞİN TÜRÜ]])</f>
        <v>20260275___ÖN HESAP SONUÇ FORMU</v>
      </c>
    </row>
    <row r="457" spans="1:11" s="22" customFormat="1" ht="24.95" customHeight="1" x14ac:dyDescent="0.25">
      <c r="A457" s="21">
        <v>46059</v>
      </c>
      <c r="B457" s="22">
        <v>20260276</v>
      </c>
      <c r="E457" s="22" t="s">
        <v>16</v>
      </c>
      <c r="F457" s="1" t="s">
        <v>6</v>
      </c>
      <c r="G457" s="26"/>
      <c r="H457" s="18" t="s">
        <v>27</v>
      </c>
      <c r="I457" s="18"/>
      <c r="J457" s="30"/>
      <c r="K457" s="22" t="str">
        <f>+CONCATENATE(Tablo1710612131618202224[[#This Row],[DOSYA NO]],"_",Tablo1710612131618202224[[#This Row],[MÜŞTERİ ADI]],$P$10,"_",Tablo1710612131618202224[[#This Row],[İŞİN ADI]],"_",Tablo1710612131618202224[[#This Row],[İŞİN TÜRÜ]])</f>
        <v>20260276___AKUSTİK RAPOR &amp; PROJE</v>
      </c>
    </row>
    <row r="458" spans="1:11" s="22" customFormat="1" ht="24.95" customHeight="1" x14ac:dyDescent="0.25">
      <c r="A458" s="21">
        <v>46059</v>
      </c>
      <c r="B458" s="22">
        <v>20260277</v>
      </c>
      <c r="E458" s="22" t="s">
        <v>62</v>
      </c>
      <c r="F458" s="1" t="s">
        <v>6</v>
      </c>
      <c r="G458" s="26"/>
      <c r="H458" s="18" t="s">
        <v>27</v>
      </c>
      <c r="I458" s="18"/>
      <c r="J458" s="30"/>
      <c r="K458" s="22" t="str">
        <f>+CONCATENATE(Tablo1710612131618202224[[#This Row],[DOSYA NO]],"_",Tablo1710612131618202224[[#This Row],[MÜŞTERİ ADI]],$P$10,"_",Tablo1710612131618202224[[#This Row],[İŞİN ADI]],"_",Tablo1710612131618202224[[#This Row],[İŞİN TÜRÜ]])</f>
        <v>20260277___EKB ÇİZİMİ</v>
      </c>
    </row>
    <row r="459" spans="1:11" s="22" customFormat="1" ht="24.95" customHeight="1" x14ac:dyDescent="0.25">
      <c r="A459" s="21">
        <v>46059</v>
      </c>
      <c r="B459" s="22">
        <v>20260278</v>
      </c>
      <c r="E459" s="22" t="s">
        <v>62</v>
      </c>
      <c r="F459" s="1" t="s">
        <v>6</v>
      </c>
      <c r="G459" s="26"/>
      <c r="H459" s="18" t="s">
        <v>27</v>
      </c>
      <c r="I459" s="18"/>
      <c r="J459" s="30"/>
      <c r="K459" s="22" t="str">
        <f>+CONCATENATE(Tablo1710612131618202224[[#This Row],[DOSYA NO]],"_",Tablo1710612131618202224[[#This Row],[MÜŞTERİ ADI]],$P$10,"_",Tablo1710612131618202224[[#This Row],[İŞİN ADI]],"_",Tablo1710612131618202224[[#This Row],[İŞİN TÜRÜ]])</f>
        <v>20260278___EKB ÇİZİMİ</v>
      </c>
    </row>
    <row r="460" spans="1:11" s="22" customFormat="1" ht="24.95" customHeight="1" x14ac:dyDescent="0.25">
      <c r="A460" s="21">
        <v>46059</v>
      </c>
      <c r="B460" s="22">
        <v>20260279</v>
      </c>
      <c r="E460" s="22" t="s">
        <v>62</v>
      </c>
      <c r="F460" s="1" t="s">
        <v>6</v>
      </c>
      <c r="G460" s="26"/>
      <c r="H460" s="18" t="s">
        <v>27</v>
      </c>
      <c r="I460" s="18"/>
      <c r="J460" s="30"/>
      <c r="K460" s="22" t="str">
        <f>+CONCATENATE(Tablo1710612131618202224[[#This Row],[DOSYA NO]],"_",Tablo1710612131618202224[[#This Row],[MÜŞTERİ ADI]],$P$10,"_",Tablo1710612131618202224[[#This Row],[İŞİN ADI]],"_",Tablo1710612131618202224[[#This Row],[İŞİN TÜRÜ]])</f>
        <v>20260279___EKB ÇİZİMİ</v>
      </c>
    </row>
    <row r="461" spans="1:11" s="22" customFormat="1" ht="24.95" customHeight="1" x14ac:dyDescent="0.25">
      <c r="A461" s="21">
        <v>46059</v>
      </c>
      <c r="B461" s="22">
        <v>20260280</v>
      </c>
      <c r="E461" s="22" t="s">
        <v>16</v>
      </c>
      <c r="F461" s="1" t="s">
        <v>6</v>
      </c>
      <c r="G461" s="26"/>
      <c r="H461" s="18" t="s">
        <v>27</v>
      </c>
      <c r="I461" s="18"/>
      <c r="J461" s="30"/>
      <c r="K461" s="22" t="str">
        <f>+CONCATENATE(Tablo1710612131618202224[[#This Row],[DOSYA NO]],"_",Tablo1710612131618202224[[#This Row],[MÜŞTERİ ADI]],$P$10,"_",Tablo1710612131618202224[[#This Row],[İŞİN ADI]],"_",Tablo1710612131618202224[[#This Row],[İŞİN TÜRÜ]])</f>
        <v>20260280___AKUSTİK RAPOR &amp; PROJE</v>
      </c>
    </row>
    <row r="462" spans="1:11" s="22" customFormat="1" ht="24.95" customHeight="1" x14ac:dyDescent="0.25">
      <c r="A462" s="21">
        <v>46059</v>
      </c>
      <c r="B462" s="22">
        <v>20260281</v>
      </c>
      <c r="E462" s="22" t="s">
        <v>16</v>
      </c>
      <c r="F462" s="1" t="s">
        <v>6</v>
      </c>
      <c r="G462" s="26"/>
      <c r="H462" s="18" t="s">
        <v>27</v>
      </c>
      <c r="I462" s="18"/>
      <c r="J462" s="30"/>
      <c r="K462" s="22" t="str">
        <f>+CONCATENATE(Tablo1710612131618202224[[#This Row],[DOSYA NO]],"_",Tablo1710612131618202224[[#This Row],[MÜŞTERİ ADI]],$P$10,"_",Tablo1710612131618202224[[#This Row],[İŞİN ADI]],"_",Tablo1710612131618202224[[#This Row],[İŞİN TÜRÜ]])</f>
        <v>20260281___AKUSTİK RAPOR &amp; PROJE</v>
      </c>
    </row>
    <row r="463" spans="1:11" s="22" customFormat="1" ht="24.95" customHeight="1" x14ac:dyDescent="0.25">
      <c r="A463" s="21">
        <v>46059</v>
      </c>
      <c r="B463" s="22">
        <v>20260282</v>
      </c>
      <c r="E463" s="22" t="s">
        <v>62</v>
      </c>
      <c r="F463" s="1" t="s">
        <v>6</v>
      </c>
      <c r="G463" s="26"/>
      <c r="H463" s="18" t="s">
        <v>27</v>
      </c>
      <c r="I463" s="18"/>
      <c r="J463" s="30"/>
      <c r="K463" s="22" t="str">
        <f>+CONCATENATE(Tablo1710612131618202224[[#This Row],[DOSYA NO]],"_",Tablo1710612131618202224[[#This Row],[MÜŞTERİ ADI]],$P$10,"_",Tablo1710612131618202224[[#This Row],[İŞİN ADI]],"_",Tablo1710612131618202224[[#This Row],[İŞİN TÜRÜ]])</f>
        <v>20260282___EKB ÇİZİMİ</v>
      </c>
    </row>
    <row r="464" spans="1:11" s="22" customFormat="1" ht="24.95" customHeight="1" x14ac:dyDescent="0.25">
      <c r="A464" s="21">
        <v>46060</v>
      </c>
      <c r="B464" s="22">
        <v>20260283</v>
      </c>
      <c r="E464" s="22" t="s">
        <v>17</v>
      </c>
      <c r="F464" s="1" t="s">
        <v>6</v>
      </c>
      <c r="G464" s="26"/>
      <c r="H464" s="18" t="s">
        <v>27</v>
      </c>
      <c r="I464" s="18"/>
      <c r="J464" s="30"/>
      <c r="K464" s="22" t="str">
        <f>+CONCATENATE(Tablo1710612131618202224[[#This Row],[DOSYA NO]],"_",Tablo1710612131618202224[[#This Row],[MÜŞTERİ ADI]],$P$10,"_",Tablo1710612131618202224[[#This Row],[İŞİN ADI]],"_",Tablo1710612131618202224[[#This Row],[İŞİN TÜRÜ]])</f>
        <v>20260283___ÖN HESAP SONUÇ FORMU</v>
      </c>
    </row>
    <row r="465" spans="1:11" s="22" customFormat="1" ht="24.95" customHeight="1" x14ac:dyDescent="0.25">
      <c r="A465" s="21">
        <v>46060</v>
      </c>
      <c r="B465" s="22">
        <v>20260284</v>
      </c>
      <c r="E465" s="22" t="s">
        <v>16</v>
      </c>
      <c r="F465" s="1" t="s">
        <v>6</v>
      </c>
      <c r="G465" s="26"/>
      <c r="H465" s="18" t="s">
        <v>27</v>
      </c>
      <c r="I465" s="18"/>
      <c r="J465" s="30"/>
      <c r="K465" s="22" t="str">
        <f>+CONCATENATE(Tablo1710612131618202224[[#This Row],[DOSYA NO]],"_",Tablo1710612131618202224[[#This Row],[MÜŞTERİ ADI]],$P$10,"_",Tablo1710612131618202224[[#This Row],[İŞİN ADI]],"_",Tablo1710612131618202224[[#This Row],[İŞİN TÜRÜ]])</f>
        <v>20260284___AKUSTİK RAPOR &amp; PROJE</v>
      </c>
    </row>
    <row r="466" spans="1:11" s="22" customFormat="1" ht="24.95" customHeight="1" x14ac:dyDescent="0.25">
      <c r="A466" s="21">
        <v>46060</v>
      </c>
      <c r="B466" s="22">
        <v>20260285</v>
      </c>
      <c r="E466" s="22" t="s">
        <v>17</v>
      </c>
      <c r="F466" s="1" t="s">
        <v>6</v>
      </c>
      <c r="G466" s="26"/>
      <c r="H466" s="18" t="s">
        <v>27</v>
      </c>
      <c r="I466" s="18"/>
      <c r="J466" s="30"/>
      <c r="K466" s="22" t="str">
        <f>+CONCATENATE(Tablo1710612131618202224[[#This Row],[DOSYA NO]],"_",Tablo1710612131618202224[[#This Row],[MÜŞTERİ ADI]],$P$10,"_",Tablo1710612131618202224[[#This Row],[İŞİN ADI]],"_",Tablo1710612131618202224[[#This Row],[İŞİN TÜRÜ]])</f>
        <v>20260285___ÖN HESAP SONUÇ FORMU</v>
      </c>
    </row>
    <row r="467" spans="1:11" s="22" customFormat="1" ht="24.95" customHeight="1" x14ac:dyDescent="0.25">
      <c r="A467" s="21">
        <v>46060</v>
      </c>
      <c r="B467" s="22">
        <v>20260286</v>
      </c>
      <c r="E467" s="22" t="s">
        <v>16</v>
      </c>
      <c r="F467" s="1" t="s">
        <v>6</v>
      </c>
      <c r="G467" s="26"/>
      <c r="H467" s="18" t="s">
        <v>27</v>
      </c>
      <c r="I467" s="18"/>
      <c r="J467" s="30"/>
      <c r="K467" s="22" t="str">
        <f>+CONCATENATE(Tablo1710612131618202224[[#This Row],[DOSYA NO]],"_",Tablo1710612131618202224[[#This Row],[MÜŞTERİ ADI]],$P$10,"_",Tablo1710612131618202224[[#This Row],[İŞİN ADI]],"_",Tablo1710612131618202224[[#This Row],[İŞİN TÜRÜ]])</f>
        <v>20260286___AKUSTİK RAPOR &amp; PROJE</v>
      </c>
    </row>
    <row r="468" spans="1:11" s="22" customFormat="1" ht="24.95" customHeight="1" x14ac:dyDescent="0.25">
      <c r="A468" s="21">
        <v>46062</v>
      </c>
      <c r="B468" s="22">
        <v>20260287</v>
      </c>
      <c r="E468" s="22" t="s">
        <v>92</v>
      </c>
      <c r="F468" s="1" t="s">
        <v>5</v>
      </c>
      <c r="G468" s="26"/>
      <c r="H468" s="18" t="s">
        <v>27</v>
      </c>
      <c r="I468" s="18"/>
      <c r="J468" s="30"/>
      <c r="K468" s="22" t="str">
        <f>+CONCATENATE(Tablo1710612131618202224[[#This Row],[DOSYA NO]],"_",Tablo1710612131618202224[[#This Row],[MÜŞTERİ ADI]],$P$10,"_",Tablo1710612131618202224[[#This Row],[İŞİN ADI]],"_",Tablo1710612131618202224[[#This Row],[İŞİN TÜRÜ]])</f>
        <v>20260287___3BSYM</v>
      </c>
    </row>
    <row r="469" spans="1:11" s="22" customFormat="1" ht="24.95" customHeight="1" x14ac:dyDescent="0.25">
      <c r="A469" s="21">
        <v>46062</v>
      </c>
      <c r="B469" s="22">
        <v>20260288</v>
      </c>
      <c r="E469" s="22" t="s">
        <v>62</v>
      </c>
      <c r="F469" s="1" t="s">
        <v>6</v>
      </c>
      <c r="G469" s="26"/>
      <c r="H469" s="18" t="s">
        <v>27</v>
      </c>
      <c r="I469" s="18"/>
      <c r="J469" s="30"/>
      <c r="K469" s="22" t="str">
        <f>+CONCATENATE(Tablo1710612131618202224[[#This Row],[DOSYA NO]],"_",Tablo1710612131618202224[[#This Row],[MÜŞTERİ ADI]],$P$10,"_",Tablo1710612131618202224[[#This Row],[İŞİN ADI]],"_",Tablo1710612131618202224[[#This Row],[İŞİN TÜRÜ]])</f>
        <v>20260288___EKB ÇİZİMİ</v>
      </c>
    </row>
    <row r="470" spans="1:11" s="22" customFormat="1" ht="24.95" customHeight="1" x14ac:dyDescent="0.25">
      <c r="A470" s="21">
        <v>46062</v>
      </c>
      <c r="B470" s="22">
        <v>20260289</v>
      </c>
      <c r="E470" s="22" t="s">
        <v>77</v>
      </c>
      <c r="F470" s="1" t="s">
        <v>6</v>
      </c>
      <c r="G470" s="26"/>
      <c r="H470" s="18" t="s">
        <v>27</v>
      </c>
      <c r="I470" s="18"/>
      <c r="J470" s="30"/>
      <c r="K470" s="22" t="str">
        <f>+CONCATENATE(Tablo1710612131618202224[[#This Row],[DOSYA NO]],"_",Tablo1710612131618202224[[#This Row],[MÜŞTERİ ADI]],$P$10,"_",Tablo1710612131618202224[[#This Row],[İŞİN ADI]],"_",Tablo1710612131618202224[[#This Row],[İŞİN TÜRÜ]])</f>
        <v>20260289___EKB ÇİZİM VE ONAYI</v>
      </c>
    </row>
    <row r="471" spans="1:11" s="22" customFormat="1" ht="24.95" customHeight="1" x14ac:dyDescent="0.25">
      <c r="A471" s="21">
        <v>46062</v>
      </c>
      <c r="B471" s="22">
        <v>20260290</v>
      </c>
      <c r="E471" s="22" t="s">
        <v>17</v>
      </c>
      <c r="F471" s="1" t="s">
        <v>6</v>
      </c>
      <c r="G471" s="26"/>
      <c r="H471" s="18" t="s">
        <v>27</v>
      </c>
      <c r="I471" s="18"/>
      <c r="J471" s="30"/>
      <c r="K471" s="22" t="str">
        <f>+CONCATENATE(Tablo1710612131618202224[[#This Row],[DOSYA NO]],"_",Tablo1710612131618202224[[#This Row],[MÜŞTERİ ADI]],$P$10,"_",Tablo1710612131618202224[[#This Row],[İŞİN ADI]],"_",Tablo1710612131618202224[[#This Row],[İŞİN TÜRÜ]])</f>
        <v>20260290___ÖN HESAP SONUÇ FORMU</v>
      </c>
    </row>
    <row r="472" spans="1:11" s="22" customFormat="1" ht="24.95" customHeight="1" x14ac:dyDescent="0.25">
      <c r="A472" s="21">
        <v>46062</v>
      </c>
      <c r="B472" s="22">
        <v>20260291</v>
      </c>
      <c r="E472" s="22" t="s">
        <v>62</v>
      </c>
      <c r="F472" s="1" t="s">
        <v>6</v>
      </c>
      <c r="G472" s="26"/>
      <c r="H472" s="18" t="s">
        <v>27</v>
      </c>
      <c r="I472" s="18"/>
      <c r="J472" s="30"/>
      <c r="K472" s="22" t="str">
        <f>+CONCATENATE(Tablo1710612131618202224[[#This Row],[DOSYA NO]],"_",Tablo1710612131618202224[[#This Row],[MÜŞTERİ ADI]],$P$10,"_",Tablo1710612131618202224[[#This Row],[İŞİN ADI]],"_",Tablo1710612131618202224[[#This Row],[İŞİN TÜRÜ]])</f>
        <v>20260291___EKB ÇİZİMİ</v>
      </c>
    </row>
    <row r="473" spans="1:11" s="22" customFormat="1" ht="24.95" customHeight="1" x14ac:dyDescent="0.25">
      <c r="A473" s="21">
        <v>46062</v>
      </c>
      <c r="B473" s="22">
        <v>20260292</v>
      </c>
      <c r="E473" s="22" t="s">
        <v>62</v>
      </c>
      <c r="F473" s="1" t="s">
        <v>6</v>
      </c>
      <c r="G473" s="26"/>
      <c r="H473" s="18" t="s">
        <v>27</v>
      </c>
      <c r="I473" s="18" t="s">
        <v>278</v>
      </c>
      <c r="J473" s="30"/>
      <c r="K473" s="22" t="str">
        <f>+CONCATENATE(Tablo1710612131618202224[[#This Row],[DOSYA NO]],"_",Tablo1710612131618202224[[#This Row],[MÜŞTERİ ADI]],$P$10,"_",Tablo1710612131618202224[[#This Row],[İŞİN ADI]],"_",Tablo1710612131618202224[[#This Row],[İŞİN TÜRÜ]])</f>
        <v>20260292___EKB ÇİZİMİ</v>
      </c>
    </row>
    <row r="474" spans="1:11" s="22" customFormat="1" ht="24.95" customHeight="1" x14ac:dyDescent="0.25">
      <c r="A474" s="21">
        <v>46062</v>
      </c>
      <c r="B474" s="22">
        <v>20260293</v>
      </c>
      <c r="E474" s="22" t="s">
        <v>17</v>
      </c>
      <c r="F474" s="1" t="s">
        <v>6</v>
      </c>
      <c r="G474" s="26"/>
      <c r="H474" s="18" t="s">
        <v>27</v>
      </c>
      <c r="I474" s="18"/>
      <c r="J474" s="30"/>
      <c r="K474" s="22" t="str">
        <f>+CONCATENATE(Tablo1710612131618202224[[#This Row],[DOSYA NO]],"_",Tablo1710612131618202224[[#This Row],[MÜŞTERİ ADI]],$P$10,"_",Tablo1710612131618202224[[#This Row],[İŞİN ADI]],"_",Tablo1710612131618202224[[#This Row],[İŞİN TÜRÜ]])</f>
        <v>20260293___ÖN HESAP SONUÇ FORMU</v>
      </c>
    </row>
    <row r="475" spans="1:11" s="22" customFormat="1" ht="24.95" customHeight="1" x14ac:dyDescent="0.25">
      <c r="A475" s="21">
        <v>46062</v>
      </c>
      <c r="B475" s="22">
        <v>20260294</v>
      </c>
      <c r="E475" s="22" t="s">
        <v>17</v>
      </c>
      <c r="F475" s="1" t="s">
        <v>6</v>
      </c>
      <c r="G475" s="26"/>
      <c r="H475" s="18" t="s">
        <v>27</v>
      </c>
      <c r="I475" s="18"/>
      <c r="J475" s="30"/>
      <c r="K475" s="22" t="str">
        <f>+CONCATENATE(Tablo1710612131618202224[[#This Row],[DOSYA NO]],"_",Tablo1710612131618202224[[#This Row],[MÜŞTERİ ADI]],$P$10,"_",Tablo1710612131618202224[[#This Row],[İŞİN ADI]],"_",Tablo1710612131618202224[[#This Row],[İŞİN TÜRÜ]])</f>
        <v>20260294___ÖN HESAP SONUÇ FORMU</v>
      </c>
    </row>
    <row r="476" spans="1:11" s="22" customFormat="1" ht="24.95" customHeight="1" x14ac:dyDescent="0.25">
      <c r="A476" s="21">
        <v>46062</v>
      </c>
      <c r="B476" s="22">
        <v>20260295</v>
      </c>
      <c r="E476" s="22" t="s">
        <v>16</v>
      </c>
      <c r="F476" s="1" t="s">
        <v>6</v>
      </c>
      <c r="G476" s="26"/>
      <c r="H476" s="18" t="s">
        <v>27</v>
      </c>
      <c r="I476" s="18"/>
      <c r="J476" s="30"/>
      <c r="K476" s="22" t="str">
        <f>+CONCATENATE(Tablo1710612131618202224[[#This Row],[DOSYA NO]],"_",Tablo1710612131618202224[[#This Row],[MÜŞTERİ ADI]],$P$10,"_",Tablo1710612131618202224[[#This Row],[İŞİN ADI]],"_",Tablo1710612131618202224[[#This Row],[İŞİN TÜRÜ]])</f>
        <v>20260295___AKUSTİK RAPOR &amp; PROJE</v>
      </c>
    </row>
    <row r="477" spans="1:11" s="22" customFormat="1" ht="24.95" customHeight="1" x14ac:dyDescent="0.25">
      <c r="A477" s="21">
        <v>46062</v>
      </c>
      <c r="B477" s="22">
        <v>20260296</v>
      </c>
      <c r="E477" s="22" t="s">
        <v>16</v>
      </c>
      <c r="F477" s="1" t="s">
        <v>6</v>
      </c>
      <c r="G477" s="26"/>
      <c r="H477" s="18" t="s">
        <v>27</v>
      </c>
      <c r="I477" s="18"/>
      <c r="J477" s="30"/>
      <c r="K477" s="22" t="str">
        <f>+CONCATENATE(Tablo1710612131618202224[[#This Row],[DOSYA NO]],"_",Tablo1710612131618202224[[#This Row],[MÜŞTERİ ADI]],$P$10,"_",Tablo1710612131618202224[[#This Row],[İŞİN ADI]],"_",Tablo1710612131618202224[[#This Row],[İŞİN TÜRÜ]])</f>
        <v>20260296___AKUSTİK RAPOR &amp; PROJE</v>
      </c>
    </row>
    <row r="478" spans="1:11" s="22" customFormat="1" ht="24.95" customHeight="1" x14ac:dyDescent="0.25">
      <c r="A478" s="21">
        <v>46062</v>
      </c>
      <c r="B478" s="22">
        <v>20260297</v>
      </c>
      <c r="E478" s="22" t="s">
        <v>62</v>
      </c>
      <c r="F478" s="1" t="s">
        <v>6</v>
      </c>
      <c r="G478" s="26"/>
      <c r="H478" s="18" t="s">
        <v>27</v>
      </c>
      <c r="I478" s="18"/>
      <c r="J478" s="30"/>
      <c r="K478" s="22" t="str">
        <f>+CONCATENATE(Tablo1710612131618202224[[#This Row],[DOSYA NO]],"_",Tablo1710612131618202224[[#This Row],[MÜŞTERİ ADI]],$P$10,"_",Tablo1710612131618202224[[#This Row],[İŞİN ADI]],"_",Tablo1710612131618202224[[#This Row],[İŞİN TÜRÜ]])</f>
        <v>20260297___EKB ÇİZİMİ</v>
      </c>
    </row>
    <row r="479" spans="1:11" s="22" customFormat="1" ht="24.95" customHeight="1" x14ac:dyDescent="0.25">
      <c r="A479" s="21">
        <v>46062</v>
      </c>
      <c r="B479" s="22">
        <v>20260298</v>
      </c>
      <c r="E479" s="22" t="s">
        <v>77</v>
      </c>
      <c r="F479" s="1" t="s">
        <v>6</v>
      </c>
      <c r="G479" s="26"/>
      <c r="H479" s="18" t="s">
        <v>27</v>
      </c>
      <c r="I479" s="18"/>
      <c r="J479" s="30"/>
      <c r="K479" s="22" t="str">
        <f>+CONCATENATE(Tablo1710612131618202224[[#This Row],[DOSYA NO]],"_",Tablo1710612131618202224[[#This Row],[MÜŞTERİ ADI]],$P$10,"_",Tablo1710612131618202224[[#This Row],[İŞİN ADI]],"_",Tablo1710612131618202224[[#This Row],[İŞİN TÜRÜ]])</f>
        <v>20260298___EKB ÇİZİM VE ONAYI</v>
      </c>
    </row>
    <row r="480" spans="1:11" s="22" customFormat="1" ht="24.95" customHeight="1" x14ac:dyDescent="0.25">
      <c r="A480" s="21">
        <v>46062</v>
      </c>
      <c r="B480" s="22">
        <v>20260299</v>
      </c>
      <c r="E480" s="22" t="s">
        <v>77</v>
      </c>
      <c r="F480" s="1" t="s">
        <v>6</v>
      </c>
      <c r="G480" s="26"/>
      <c r="H480" s="18" t="s">
        <v>27</v>
      </c>
      <c r="I480" s="18"/>
      <c r="J480" s="30" t="s">
        <v>299</v>
      </c>
      <c r="K480" s="22" t="str">
        <f>+CONCATENATE(Tablo1710612131618202224[[#This Row],[DOSYA NO]],"_",Tablo1710612131618202224[[#This Row],[MÜŞTERİ ADI]],$P$10,"_",Tablo1710612131618202224[[#This Row],[İŞİN ADI]],"_",Tablo1710612131618202224[[#This Row],[İŞİN TÜRÜ]])</f>
        <v>20260299___EKB ÇİZİM VE ONAYI</v>
      </c>
    </row>
    <row r="481" spans="1:11" s="22" customFormat="1" ht="24.95" customHeight="1" x14ac:dyDescent="0.25">
      <c r="A481" s="21">
        <v>46062</v>
      </c>
      <c r="B481" s="22">
        <v>202602100</v>
      </c>
      <c r="E481" s="22" t="s">
        <v>16</v>
      </c>
      <c r="F481" s="1" t="s">
        <v>6</v>
      </c>
      <c r="G481" s="26"/>
      <c r="H481" s="18" t="s">
        <v>27</v>
      </c>
      <c r="I481" s="18"/>
      <c r="J481" s="30"/>
      <c r="K481" s="22" t="str">
        <f>+CONCATENATE(Tablo1710612131618202224[[#This Row],[DOSYA NO]],"_",Tablo1710612131618202224[[#This Row],[MÜŞTERİ ADI]],$P$10,"_",Tablo1710612131618202224[[#This Row],[İŞİN ADI]],"_",Tablo1710612131618202224[[#This Row],[İŞİN TÜRÜ]])</f>
        <v>202602100___AKUSTİK RAPOR &amp; PROJE</v>
      </c>
    </row>
    <row r="482" spans="1:11" s="22" customFormat="1" ht="24.95" customHeight="1" x14ac:dyDescent="0.25">
      <c r="A482" s="21">
        <v>46062</v>
      </c>
      <c r="B482" s="22">
        <v>202602101</v>
      </c>
      <c r="E482" s="22" t="s">
        <v>17</v>
      </c>
      <c r="F482" s="1" t="s">
        <v>6</v>
      </c>
      <c r="G482" s="26"/>
      <c r="H482" s="18" t="s">
        <v>27</v>
      </c>
      <c r="I482" s="18"/>
      <c r="J482" s="30"/>
      <c r="K482" s="22" t="str">
        <f>+CONCATENATE(Tablo1710612131618202224[[#This Row],[DOSYA NO]],"_",Tablo1710612131618202224[[#This Row],[MÜŞTERİ ADI]],$P$10,"_",Tablo1710612131618202224[[#This Row],[İŞİN ADI]],"_",Tablo1710612131618202224[[#This Row],[İŞİN TÜRÜ]])</f>
        <v>202602101___ÖN HESAP SONUÇ FORMU</v>
      </c>
    </row>
    <row r="483" spans="1:11" s="22" customFormat="1" ht="24.95" customHeight="1" x14ac:dyDescent="0.25">
      <c r="A483" s="21">
        <v>46062</v>
      </c>
      <c r="B483" s="22">
        <v>202602102</v>
      </c>
      <c r="E483" s="22" t="s">
        <v>16</v>
      </c>
      <c r="F483" s="1" t="s">
        <v>6</v>
      </c>
      <c r="G483" s="26"/>
      <c r="H483" s="18" t="s">
        <v>27</v>
      </c>
      <c r="I483" s="18"/>
      <c r="J483" s="30"/>
      <c r="K483" s="22" t="str">
        <f>+CONCATENATE(Tablo1710612131618202224[[#This Row],[DOSYA NO]],"_",Tablo1710612131618202224[[#This Row],[MÜŞTERİ ADI]],$P$10,"_",Tablo1710612131618202224[[#This Row],[İŞİN ADI]],"_",Tablo1710612131618202224[[#This Row],[İŞİN TÜRÜ]])</f>
        <v>202602102___AKUSTİK RAPOR &amp; PROJE</v>
      </c>
    </row>
    <row r="484" spans="1:11" s="22" customFormat="1" ht="24.95" customHeight="1" x14ac:dyDescent="0.25">
      <c r="A484" s="21">
        <v>46062</v>
      </c>
      <c r="B484" s="22">
        <v>202602103</v>
      </c>
      <c r="E484" s="22" t="s">
        <v>62</v>
      </c>
      <c r="F484" s="1" t="s">
        <v>6</v>
      </c>
      <c r="G484" s="26"/>
      <c r="H484" s="18" t="s">
        <v>27</v>
      </c>
      <c r="I484" s="18"/>
      <c r="J484" s="30" t="s">
        <v>299</v>
      </c>
      <c r="K484" s="22" t="str">
        <f>+CONCATENATE(Tablo1710612131618202224[[#This Row],[DOSYA NO]],"_",Tablo1710612131618202224[[#This Row],[MÜŞTERİ ADI]],$P$10,"_",Tablo1710612131618202224[[#This Row],[İŞİN ADI]],"_",Tablo1710612131618202224[[#This Row],[İŞİN TÜRÜ]])</f>
        <v>202602103___EKB ÇİZİMİ</v>
      </c>
    </row>
    <row r="485" spans="1:11" s="22" customFormat="1" ht="24.95" customHeight="1" x14ac:dyDescent="0.25">
      <c r="A485" s="21">
        <v>46062</v>
      </c>
      <c r="B485" s="22">
        <v>202602104</v>
      </c>
      <c r="E485" s="22" t="s">
        <v>16</v>
      </c>
      <c r="F485" s="1" t="s">
        <v>6</v>
      </c>
      <c r="G485" s="26"/>
      <c r="H485" s="18" t="s">
        <v>27</v>
      </c>
      <c r="I485" s="18"/>
      <c r="J485" s="30"/>
      <c r="K485" s="22" t="str">
        <f>+CONCATENATE(Tablo1710612131618202224[[#This Row],[DOSYA NO]],"_",Tablo1710612131618202224[[#This Row],[MÜŞTERİ ADI]],$P$10,"_",Tablo1710612131618202224[[#This Row],[İŞİN ADI]],"_",Tablo1710612131618202224[[#This Row],[İŞİN TÜRÜ]])</f>
        <v>202602104___AKUSTİK RAPOR &amp; PROJE</v>
      </c>
    </row>
    <row r="486" spans="1:11" s="22" customFormat="1" ht="24.95" customHeight="1" x14ac:dyDescent="0.25">
      <c r="A486" s="21">
        <v>46063</v>
      </c>
      <c r="B486" s="22">
        <v>202602105</v>
      </c>
      <c r="E486" s="22" t="s">
        <v>62</v>
      </c>
      <c r="F486" s="1" t="s">
        <v>6</v>
      </c>
      <c r="G486" s="26"/>
      <c r="H486" s="18" t="s">
        <v>27</v>
      </c>
      <c r="I486" s="18"/>
      <c r="J486" s="30"/>
      <c r="K486" s="22" t="str">
        <f>+CONCATENATE(Tablo1710612131618202224[[#This Row],[DOSYA NO]],"_",Tablo1710612131618202224[[#This Row],[MÜŞTERİ ADI]],$P$10,"_",Tablo1710612131618202224[[#This Row],[İŞİN ADI]],"_",Tablo1710612131618202224[[#This Row],[İŞİN TÜRÜ]])</f>
        <v>202602105___EKB ÇİZİMİ</v>
      </c>
    </row>
    <row r="487" spans="1:11" s="22" customFormat="1" ht="24.95" customHeight="1" x14ac:dyDescent="0.25">
      <c r="A487" s="21">
        <v>46063</v>
      </c>
      <c r="B487" s="22">
        <v>202602106</v>
      </c>
      <c r="E487" s="22" t="s">
        <v>62</v>
      </c>
      <c r="F487" s="1" t="s">
        <v>6</v>
      </c>
      <c r="G487" s="26"/>
      <c r="H487" s="18" t="s">
        <v>27</v>
      </c>
      <c r="I487" s="18"/>
      <c r="J487" s="30"/>
      <c r="K487" s="22" t="str">
        <f>+CONCATENATE(Tablo1710612131618202224[[#This Row],[DOSYA NO]],"_",Tablo1710612131618202224[[#This Row],[MÜŞTERİ ADI]],$P$10,"_",Tablo1710612131618202224[[#This Row],[İŞİN ADI]],"_",Tablo1710612131618202224[[#This Row],[İŞİN TÜRÜ]])</f>
        <v>202602106___EKB ÇİZİMİ</v>
      </c>
    </row>
    <row r="488" spans="1:11" s="22" customFormat="1" ht="24.95" customHeight="1" x14ac:dyDescent="0.25">
      <c r="A488" s="21">
        <v>46063</v>
      </c>
      <c r="B488" s="22">
        <v>202602107</v>
      </c>
      <c r="E488" s="22" t="s">
        <v>17</v>
      </c>
      <c r="F488" s="1" t="s">
        <v>6</v>
      </c>
      <c r="G488" s="26"/>
      <c r="H488" s="18" t="s">
        <v>27</v>
      </c>
      <c r="I488" s="18"/>
      <c r="J488" s="30"/>
      <c r="K488" s="22" t="str">
        <f>+CONCATENATE(Tablo1710612131618202224[[#This Row],[DOSYA NO]],"_",Tablo1710612131618202224[[#This Row],[MÜŞTERİ ADI]],$P$10,"_",Tablo1710612131618202224[[#This Row],[İŞİN ADI]],"_",Tablo1710612131618202224[[#This Row],[İŞİN TÜRÜ]])</f>
        <v>202602107___ÖN HESAP SONUÇ FORMU</v>
      </c>
    </row>
    <row r="489" spans="1:11" s="22" customFormat="1" ht="24.95" customHeight="1" x14ac:dyDescent="0.25">
      <c r="A489" s="21">
        <v>46063</v>
      </c>
      <c r="B489" s="22">
        <v>202602108</v>
      </c>
      <c r="E489" s="22" t="s">
        <v>17</v>
      </c>
      <c r="F489" s="1" t="s">
        <v>6</v>
      </c>
      <c r="G489" s="26"/>
      <c r="H489" s="18" t="s">
        <v>27</v>
      </c>
      <c r="I489" s="18"/>
      <c r="J489" s="30"/>
      <c r="K489" s="22" t="str">
        <f>+CONCATENATE(Tablo1710612131618202224[[#This Row],[DOSYA NO]],"_",Tablo1710612131618202224[[#This Row],[MÜŞTERİ ADI]],$P$10,"_",Tablo1710612131618202224[[#This Row],[İŞİN ADI]],"_",Tablo1710612131618202224[[#This Row],[İŞİN TÜRÜ]])</f>
        <v>202602108___ÖN HESAP SONUÇ FORMU</v>
      </c>
    </row>
    <row r="490" spans="1:11" s="22" customFormat="1" ht="24.95" customHeight="1" x14ac:dyDescent="0.25">
      <c r="A490" s="21">
        <v>46063</v>
      </c>
      <c r="B490" s="22">
        <v>202602109</v>
      </c>
      <c r="E490" s="22" t="s">
        <v>17</v>
      </c>
      <c r="F490" s="1" t="s">
        <v>6</v>
      </c>
      <c r="G490" s="26"/>
      <c r="H490" s="18" t="s">
        <v>27</v>
      </c>
      <c r="I490" s="18"/>
      <c r="J490" s="30"/>
      <c r="K490" s="22" t="str">
        <f>+CONCATENATE(Tablo1710612131618202224[[#This Row],[DOSYA NO]],"_",Tablo1710612131618202224[[#This Row],[MÜŞTERİ ADI]],$P$10,"_",Tablo1710612131618202224[[#This Row],[İŞİN ADI]],"_",Tablo1710612131618202224[[#This Row],[İŞİN TÜRÜ]])</f>
        <v>202602109___ÖN HESAP SONUÇ FORMU</v>
      </c>
    </row>
    <row r="491" spans="1:11" s="22" customFormat="1" ht="24.95" customHeight="1" x14ac:dyDescent="0.25">
      <c r="A491" s="21">
        <v>46063</v>
      </c>
      <c r="B491" s="22">
        <v>202602110</v>
      </c>
      <c r="E491" s="22" t="s">
        <v>17</v>
      </c>
      <c r="F491" s="1" t="s">
        <v>6</v>
      </c>
      <c r="G491" s="26"/>
      <c r="H491" s="18" t="s">
        <v>27</v>
      </c>
      <c r="I491" s="18"/>
      <c r="J491" s="30"/>
      <c r="K491" s="22" t="str">
        <f>+CONCATENATE(Tablo1710612131618202224[[#This Row],[DOSYA NO]],"_",Tablo1710612131618202224[[#This Row],[MÜŞTERİ ADI]],$P$10,"_",Tablo1710612131618202224[[#This Row],[İŞİN ADI]],"_",Tablo1710612131618202224[[#This Row],[İŞİN TÜRÜ]])</f>
        <v>202602110___ÖN HESAP SONUÇ FORMU</v>
      </c>
    </row>
    <row r="492" spans="1:11" s="22" customFormat="1" ht="24.95" customHeight="1" x14ac:dyDescent="0.25">
      <c r="A492" s="21">
        <v>46063</v>
      </c>
      <c r="B492" s="22">
        <v>202602111</v>
      </c>
      <c r="E492" s="22" t="s">
        <v>79</v>
      </c>
      <c r="F492" s="1" t="s">
        <v>6</v>
      </c>
      <c r="G492" s="26"/>
      <c r="H492" s="18" t="s">
        <v>27</v>
      </c>
      <c r="I492" s="18"/>
      <c r="J492" s="30"/>
      <c r="K492" s="22" t="str">
        <f>+CONCATENATE(Tablo1710612131618202224[[#This Row],[DOSYA NO]],"_",Tablo1710612131618202224[[#This Row],[MÜŞTERİ ADI]],$P$10,"_",Tablo1710612131618202224[[#This Row],[İŞİN ADI]],"_",Tablo1710612131618202224[[#This Row],[İŞİN TÜRÜ]])</f>
        <v>202602111___EKB ONAYI</v>
      </c>
    </row>
    <row r="493" spans="1:11" s="22" customFormat="1" ht="24.95" customHeight="1" x14ac:dyDescent="0.25">
      <c r="A493" s="21">
        <v>46063</v>
      </c>
      <c r="B493" s="22">
        <v>202602112</v>
      </c>
      <c r="E493" s="22" t="s">
        <v>79</v>
      </c>
      <c r="F493" s="1" t="s">
        <v>6</v>
      </c>
      <c r="G493" s="26"/>
      <c r="H493" s="18" t="s">
        <v>27</v>
      </c>
      <c r="I493" s="18"/>
      <c r="J493" s="30"/>
      <c r="K493" s="22" t="str">
        <f>+CONCATENATE(Tablo1710612131618202224[[#This Row],[DOSYA NO]],"_",Tablo1710612131618202224[[#This Row],[MÜŞTERİ ADI]],$P$10,"_",Tablo1710612131618202224[[#This Row],[İŞİN ADI]],"_",Tablo1710612131618202224[[#This Row],[İŞİN TÜRÜ]])</f>
        <v>202602112___EKB ONAYI</v>
      </c>
    </row>
    <row r="494" spans="1:11" s="22" customFormat="1" ht="24.95" customHeight="1" x14ac:dyDescent="0.25">
      <c r="A494" s="21">
        <v>46063</v>
      </c>
      <c r="B494" s="22">
        <v>202602113</v>
      </c>
      <c r="E494" s="22" t="s">
        <v>17</v>
      </c>
      <c r="F494" s="1" t="s">
        <v>6</v>
      </c>
      <c r="G494" s="26"/>
      <c r="H494" s="18" t="s">
        <v>27</v>
      </c>
      <c r="I494" s="18"/>
      <c r="J494" s="30"/>
      <c r="K494" s="22" t="str">
        <f>+CONCATENATE(Tablo1710612131618202224[[#This Row],[DOSYA NO]],"_",Tablo1710612131618202224[[#This Row],[MÜŞTERİ ADI]],$P$10,"_",Tablo1710612131618202224[[#This Row],[İŞİN ADI]],"_",Tablo1710612131618202224[[#This Row],[İŞİN TÜRÜ]])</f>
        <v>202602113___ÖN HESAP SONUÇ FORMU</v>
      </c>
    </row>
    <row r="495" spans="1:11" s="22" customFormat="1" ht="24.95" customHeight="1" x14ac:dyDescent="0.25">
      <c r="A495" s="21">
        <v>46063</v>
      </c>
      <c r="B495" s="22">
        <v>202602114</v>
      </c>
      <c r="E495" s="22" t="s">
        <v>17</v>
      </c>
      <c r="F495" s="1" t="s">
        <v>6</v>
      </c>
      <c r="G495" s="26"/>
      <c r="H495" s="18" t="s">
        <v>27</v>
      </c>
      <c r="I495" s="18"/>
      <c r="J495" s="30"/>
      <c r="K495" s="22" t="str">
        <f>+CONCATENATE(Tablo1710612131618202224[[#This Row],[DOSYA NO]],"_",Tablo1710612131618202224[[#This Row],[MÜŞTERİ ADI]],$P$10,"_",Tablo1710612131618202224[[#This Row],[İŞİN ADI]],"_",Tablo1710612131618202224[[#This Row],[İŞİN TÜRÜ]])</f>
        <v>202602114___ÖN HESAP SONUÇ FORMU</v>
      </c>
    </row>
    <row r="496" spans="1:11" s="22" customFormat="1" ht="24.95" customHeight="1" x14ac:dyDescent="0.25">
      <c r="A496" s="21">
        <v>46063</v>
      </c>
      <c r="B496" s="22">
        <v>202602115</v>
      </c>
      <c r="E496" s="22" t="s">
        <v>16</v>
      </c>
      <c r="F496" s="1" t="s">
        <v>6</v>
      </c>
      <c r="G496" s="26"/>
      <c r="H496" s="18" t="s">
        <v>27</v>
      </c>
      <c r="I496" s="18"/>
      <c r="J496" s="30"/>
      <c r="K496" s="22" t="str">
        <f>+CONCATENATE(Tablo1710612131618202224[[#This Row],[DOSYA NO]],"_",Tablo1710612131618202224[[#This Row],[MÜŞTERİ ADI]],$P$10,"_",Tablo1710612131618202224[[#This Row],[İŞİN ADI]],"_",Tablo1710612131618202224[[#This Row],[İŞİN TÜRÜ]])</f>
        <v>202602115___AKUSTİK RAPOR &amp; PROJE</v>
      </c>
    </row>
    <row r="497" spans="1:11" s="22" customFormat="1" ht="24.95" customHeight="1" x14ac:dyDescent="0.25">
      <c r="A497" s="21">
        <v>46063</v>
      </c>
      <c r="B497" s="22">
        <v>202602116</v>
      </c>
      <c r="E497" s="22" t="s">
        <v>16</v>
      </c>
      <c r="F497" s="1" t="s">
        <v>6</v>
      </c>
      <c r="G497" s="26"/>
      <c r="H497" s="18" t="s">
        <v>27</v>
      </c>
      <c r="I497" s="18"/>
      <c r="J497" s="30"/>
      <c r="K497" s="22" t="str">
        <f>+CONCATENATE(Tablo1710612131618202224[[#This Row],[DOSYA NO]],"_",Tablo1710612131618202224[[#This Row],[MÜŞTERİ ADI]],$P$10,"_",Tablo1710612131618202224[[#This Row],[İŞİN ADI]],"_",Tablo1710612131618202224[[#This Row],[İŞİN TÜRÜ]])</f>
        <v>202602116___AKUSTİK RAPOR &amp; PROJE</v>
      </c>
    </row>
    <row r="498" spans="1:11" s="22" customFormat="1" ht="24.95" customHeight="1" x14ac:dyDescent="0.25">
      <c r="A498" s="21">
        <v>46063</v>
      </c>
      <c r="B498" s="22">
        <v>202602117</v>
      </c>
      <c r="E498" s="22" t="s">
        <v>77</v>
      </c>
      <c r="F498" s="1" t="s">
        <v>6</v>
      </c>
      <c r="G498" s="26"/>
      <c r="H498" s="18" t="s">
        <v>27</v>
      </c>
      <c r="I498" s="18"/>
      <c r="J498" s="30" t="s">
        <v>299</v>
      </c>
      <c r="K498" s="22" t="str">
        <f>+CONCATENATE(Tablo1710612131618202224[[#This Row],[DOSYA NO]],"_",Tablo1710612131618202224[[#This Row],[MÜŞTERİ ADI]],$P$10,"_",Tablo1710612131618202224[[#This Row],[İŞİN ADI]],"_",Tablo1710612131618202224[[#This Row],[İŞİN TÜRÜ]])</f>
        <v>202602117___EKB ÇİZİM VE ONAYI</v>
      </c>
    </row>
    <row r="499" spans="1:11" s="22" customFormat="1" ht="24.95" customHeight="1" x14ac:dyDescent="0.25">
      <c r="A499" s="21">
        <v>46063</v>
      </c>
      <c r="B499" s="22">
        <v>202602118</v>
      </c>
      <c r="E499" s="22" t="s">
        <v>77</v>
      </c>
      <c r="F499" s="1" t="s">
        <v>6</v>
      </c>
      <c r="G499" s="26"/>
      <c r="H499" s="18" t="s">
        <v>27</v>
      </c>
      <c r="I499" s="18"/>
      <c r="J499" s="30"/>
      <c r="K499" s="22" t="str">
        <f>+CONCATENATE(Tablo1710612131618202224[[#This Row],[DOSYA NO]],"_",Tablo1710612131618202224[[#This Row],[MÜŞTERİ ADI]],$P$10,"_",Tablo1710612131618202224[[#This Row],[İŞİN ADI]],"_",Tablo1710612131618202224[[#This Row],[İŞİN TÜRÜ]])</f>
        <v>202602118___EKB ÇİZİM VE ONAYI</v>
      </c>
    </row>
    <row r="500" spans="1:11" s="22" customFormat="1" ht="24.95" customHeight="1" x14ac:dyDescent="0.25">
      <c r="A500" s="21">
        <v>46063</v>
      </c>
      <c r="B500" s="22">
        <v>202602119</v>
      </c>
      <c r="E500" s="22" t="s">
        <v>16</v>
      </c>
      <c r="F500" s="1" t="s">
        <v>6</v>
      </c>
      <c r="G500" s="26"/>
      <c r="H500" s="18" t="s">
        <v>27</v>
      </c>
      <c r="I500" s="18"/>
      <c r="J500" s="30"/>
      <c r="K500" s="22" t="str">
        <f>+CONCATENATE(Tablo1710612131618202224[[#This Row],[DOSYA NO]],"_",Tablo1710612131618202224[[#This Row],[MÜŞTERİ ADI]],$P$10,"_",Tablo1710612131618202224[[#This Row],[İŞİN ADI]],"_",Tablo1710612131618202224[[#This Row],[İŞİN TÜRÜ]])</f>
        <v>202602119___AKUSTİK RAPOR &amp; PROJE</v>
      </c>
    </row>
    <row r="501" spans="1:11" s="22" customFormat="1" ht="24.95" customHeight="1" x14ac:dyDescent="0.25">
      <c r="A501" s="21">
        <v>46063</v>
      </c>
      <c r="B501" s="22">
        <v>202602120</v>
      </c>
      <c r="E501" s="22" t="s">
        <v>62</v>
      </c>
      <c r="F501" s="1" t="s">
        <v>6</v>
      </c>
      <c r="G501" s="26"/>
      <c r="H501" s="18" t="s">
        <v>27</v>
      </c>
      <c r="I501" s="18"/>
      <c r="J501" s="30"/>
      <c r="K501" s="22" t="str">
        <f>+CONCATENATE(Tablo1710612131618202224[[#This Row],[DOSYA NO]],"_",Tablo1710612131618202224[[#This Row],[MÜŞTERİ ADI]],$P$10,"_",Tablo1710612131618202224[[#This Row],[İŞİN ADI]],"_",Tablo1710612131618202224[[#This Row],[İŞİN TÜRÜ]])</f>
        <v>202602120___EKB ÇİZİMİ</v>
      </c>
    </row>
    <row r="502" spans="1:11" s="22" customFormat="1" ht="24.95" customHeight="1" x14ac:dyDescent="0.25">
      <c r="A502" s="21">
        <v>46063</v>
      </c>
      <c r="B502" s="22">
        <v>202602121</v>
      </c>
      <c r="E502" s="22" t="s">
        <v>16</v>
      </c>
      <c r="F502" s="1" t="s">
        <v>6</v>
      </c>
      <c r="G502" s="26"/>
      <c r="H502" s="18" t="s">
        <v>27</v>
      </c>
      <c r="I502" s="18"/>
      <c r="J502" s="30"/>
      <c r="K502" s="22" t="str">
        <f>+CONCATENATE(Tablo1710612131618202224[[#This Row],[DOSYA NO]],"_",Tablo1710612131618202224[[#This Row],[MÜŞTERİ ADI]],$P$10,"_",Tablo1710612131618202224[[#This Row],[İŞİN ADI]],"_",Tablo1710612131618202224[[#This Row],[İŞİN TÜRÜ]])</f>
        <v>202602121___AKUSTİK RAPOR &amp; PROJE</v>
      </c>
    </row>
    <row r="503" spans="1:11" s="22" customFormat="1" ht="24.95" customHeight="1" x14ac:dyDescent="0.25">
      <c r="A503" s="21">
        <v>46063</v>
      </c>
      <c r="B503" s="22">
        <v>202602122</v>
      </c>
      <c r="E503" s="22" t="s">
        <v>62</v>
      </c>
      <c r="F503" s="1" t="s">
        <v>6</v>
      </c>
      <c r="G503" s="26"/>
      <c r="H503" s="18" t="s">
        <v>27</v>
      </c>
      <c r="I503" s="18"/>
      <c r="J503" s="30"/>
      <c r="K503" s="22" t="str">
        <f>+CONCATENATE(Tablo1710612131618202224[[#This Row],[DOSYA NO]],"_",Tablo1710612131618202224[[#This Row],[MÜŞTERİ ADI]],$P$10,"_",Tablo1710612131618202224[[#This Row],[İŞİN ADI]],"_",Tablo1710612131618202224[[#This Row],[İŞİN TÜRÜ]])</f>
        <v>202602122___EKB ÇİZİMİ</v>
      </c>
    </row>
    <row r="504" spans="1:11" s="22" customFormat="1" ht="24.95" customHeight="1" x14ac:dyDescent="0.25">
      <c r="A504" s="21">
        <v>46063</v>
      </c>
      <c r="B504" s="22">
        <v>202602123</v>
      </c>
      <c r="E504" s="22" t="s">
        <v>16</v>
      </c>
      <c r="F504" s="1" t="s">
        <v>6</v>
      </c>
      <c r="G504" s="26"/>
      <c r="H504" s="18" t="s">
        <v>27</v>
      </c>
      <c r="I504" s="18"/>
      <c r="J504" s="30"/>
      <c r="K504" s="22" t="str">
        <f>+CONCATENATE(Tablo1710612131618202224[[#This Row],[DOSYA NO]],"_",Tablo1710612131618202224[[#This Row],[MÜŞTERİ ADI]],$P$10,"_",Tablo1710612131618202224[[#This Row],[İŞİN ADI]],"_",Tablo1710612131618202224[[#This Row],[İŞİN TÜRÜ]])</f>
        <v>202602123___AKUSTİK RAPOR &amp; PROJE</v>
      </c>
    </row>
    <row r="505" spans="1:11" s="22" customFormat="1" ht="24.95" customHeight="1" x14ac:dyDescent="0.25">
      <c r="A505" s="21">
        <v>46063</v>
      </c>
      <c r="B505" s="22">
        <v>202602124</v>
      </c>
      <c r="E505" s="22" t="s">
        <v>77</v>
      </c>
      <c r="F505" s="1" t="s">
        <v>6</v>
      </c>
      <c r="G505" s="26"/>
      <c r="H505" s="18" t="s">
        <v>27</v>
      </c>
      <c r="I505" s="18"/>
      <c r="J505" s="30"/>
      <c r="K505" s="22" t="str">
        <f>+CONCATENATE(Tablo1710612131618202224[[#This Row],[DOSYA NO]],"_",Tablo1710612131618202224[[#This Row],[MÜŞTERİ ADI]],$P$10,"_",Tablo1710612131618202224[[#This Row],[İŞİN ADI]],"_",Tablo1710612131618202224[[#This Row],[İŞİN TÜRÜ]])</f>
        <v>202602124___EKB ÇİZİM VE ONAYI</v>
      </c>
    </row>
    <row r="506" spans="1:11" s="22" customFormat="1" ht="24.95" customHeight="1" x14ac:dyDescent="0.25">
      <c r="A506" s="21">
        <v>46063</v>
      </c>
      <c r="B506" s="22">
        <v>202602125</v>
      </c>
      <c r="E506" s="22" t="s">
        <v>17</v>
      </c>
      <c r="F506" s="1" t="s">
        <v>6</v>
      </c>
      <c r="G506" s="26"/>
      <c r="H506" s="18" t="s">
        <v>27</v>
      </c>
      <c r="I506" s="18"/>
      <c r="J506" s="30"/>
      <c r="K506" s="22" t="str">
        <f>+CONCATENATE(Tablo1710612131618202224[[#This Row],[DOSYA NO]],"_",Tablo1710612131618202224[[#This Row],[MÜŞTERİ ADI]],$P$10,"_",Tablo1710612131618202224[[#This Row],[İŞİN ADI]],"_",Tablo1710612131618202224[[#This Row],[İŞİN TÜRÜ]])</f>
        <v>202602125___ÖN HESAP SONUÇ FORMU</v>
      </c>
    </row>
    <row r="507" spans="1:11" s="22" customFormat="1" ht="24.95" customHeight="1" x14ac:dyDescent="0.25">
      <c r="A507" s="21">
        <v>46063</v>
      </c>
      <c r="B507" s="22">
        <v>202602126</v>
      </c>
      <c r="E507" s="22" t="s">
        <v>77</v>
      </c>
      <c r="F507" s="1" t="s">
        <v>6</v>
      </c>
      <c r="G507" s="26"/>
      <c r="H507" s="18" t="s">
        <v>27</v>
      </c>
      <c r="I507" s="18"/>
      <c r="J507" s="30"/>
      <c r="K507" s="22" t="str">
        <f>+CONCATENATE(Tablo1710612131618202224[[#This Row],[DOSYA NO]],"_",Tablo1710612131618202224[[#This Row],[MÜŞTERİ ADI]],$P$10,"_",Tablo1710612131618202224[[#This Row],[İŞİN ADI]],"_",Tablo1710612131618202224[[#This Row],[İŞİN TÜRÜ]])</f>
        <v>202602126___EKB ÇİZİM VE ONAYI</v>
      </c>
    </row>
    <row r="508" spans="1:11" s="22" customFormat="1" ht="24.95" customHeight="1" x14ac:dyDescent="0.25">
      <c r="A508" s="21">
        <v>46063</v>
      </c>
      <c r="B508" s="22">
        <v>202602127</v>
      </c>
      <c r="E508" s="22" t="s">
        <v>17</v>
      </c>
      <c r="F508" s="1" t="s">
        <v>6</v>
      </c>
      <c r="G508" s="26"/>
      <c r="H508" s="18" t="s">
        <v>27</v>
      </c>
      <c r="I508" s="18"/>
      <c r="J508" s="30"/>
      <c r="K508" s="22" t="str">
        <f>+CONCATENATE(Tablo1710612131618202224[[#This Row],[DOSYA NO]],"_",Tablo1710612131618202224[[#This Row],[MÜŞTERİ ADI]],$P$10,"_",Tablo1710612131618202224[[#This Row],[İŞİN ADI]],"_",Tablo1710612131618202224[[#This Row],[İŞİN TÜRÜ]])</f>
        <v>202602127___ÖN HESAP SONUÇ FORMU</v>
      </c>
    </row>
    <row r="509" spans="1:11" s="22" customFormat="1" ht="24.95" customHeight="1" x14ac:dyDescent="0.25">
      <c r="A509" s="21">
        <v>46063</v>
      </c>
      <c r="B509" s="22">
        <v>202602128</v>
      </c>
      <c r="E509" s="22" t="s">
        <v>16</v>
      </c>
      <c r="F509" s="1" t="s">
        <v>6</v>
      </c>
      <c r="G509" s="26"/>
      <c r="H509" s="18" t="s">
        <v>27</v>
      </c>
      <c r="I509" s="18"/>
      <c r="J509" s="30"/>
      <c r="K509" s="22" t="str">
        <f>+CONCATENATE(Tablo1710612131618202224[[#This Row],[DOSYA NO]],"_",Tablo1710612131618202224[[#This Row],[MÜŞTERİ ADI]],$P$10,"_",Tablo1710612131618202224[[#This Row],[İŞİN ADI]],"_",Tablo1710612131618202224[[#This Row],[İŞİN TÜRÜ]])</f>
        <v>202602128___AKUSTİK RAPOR &amp; PROJE</v>
      </c>
    </row>
    <row r="510" spans="1:11" s="22" customFormat="1" ht="24.95" customHeight="1" x14ac:dyDescent="0.25">
      <c r="A510" s="21">
        <v>46063</v>
      </c>
      <c r="B510" s="22">
        <v>202602129</v>
      </c>
      <c r="E510" s="22" t="s">
        <v>16</v>
      </c>
      <c r="F510" s="1" t="s">
        <v>6</v>
      </c>
      <c r="G510" s="26"/>
      <c r="H510" s="18" t="s">
        <v>27</v>
      </c>
      <c r="I510" s="18"/>
      <c r="J510" s="30"/>
      <c r="K510" s="22" t="str">
        <f>+CONCATENATE(Tablo1710612131618202224[[#This Row],[DOSYA NO]],"_",Tablo1710612131618202224[[#This Row],[MÜŞTERİ ADI]],$P$10,"_",Tablo1710612131618202224[[#This Row],[İŞİN ADI]],"_",Tablo1710612131618202224[[#This Row],[İŞİN TÜRÜ]])</f>
        <v>202602129___AKUSTİK RAPOR &amp; PROJE</v>
      </c>
    </row>
    <row r="511" spans="1:11" s="22" customFormat="1" ht="24.95" customHeight="1" x14ac:dyDescent="0.25">
      <c r="A511" s="21">
        <v>46063</v>
      </c>
      <c r="B511" s="22">
        <v>202602130</v>
      </c>
      <c r="E511" s="22" t="s">
        <v>62</v>
      </c>
      <c r="F511" s="1" t="s">
        <v>6</v>
      </c>
      <c r="G511" s="26"/>
      <c r="H511" s="18" t="s">
        <v>27</v>
      </c>
      <c r="I511" s="18"/>
      <c r="J511" s="30"/>
      <c r="K511" s="22" t="str">
        <f>+CONCATENATE(Tablo1710612131618202224[[#This Row],[DOSYA NO]],"_",Tablo1710612131618202224[[#This Row],[MÜŞTERİ ADI]],$P$10,"_",Tablo1710612131618202224[[#This Row],[İŞİN ADI]],"_",Tablo1710612131618202224[[#This Row],[İŞİN TÜRÜ]])</f>
        <v>202602130___EKB ÇİZİMİ</v>
      </c>
    </row>
    <row r="512" spans="1:11" s="22" customFormat="1" ht="24.95" customHeight="1" x14ac:dyDescent="0.25">
      <c r="A512" s="21">
        <v>46063</v>
      </c>
      <c r="B512" s="22">
        <v>202602131</v>
      </c>
      <c r="E512" s="22" t="s">
        <v>17</v>
      </c>
      <c r="F512" s="1" t="s">
        <v>6</v>
      </c>
      <c r="G512" s="26"/>
      <c r="H512" s="18" t="s">
        <v>27</v>
      </c>
      <c r="I512" s="18"/>
      <c r="J512" s="30" t="s">
        <v>299</v>
      </c>
      <c r="K512" s="22" t="str">
        <f>+CONCATENATE(Tablo1710612131618202224[[#This Row],[DOSYA NO]],"_",Tablo1710612131618202224[[#This Row],[MÜŞTERİ ADI]],$P$10,"_",Tablo1710612131618202224[[#This Row],[İŞİN ADI]],"_",Tablo1710612131618202224[[#This Row],[İŞİN TÜRÜ]])</f>
        <v>202602131___ÖN HESAP SONUÇ FORMU</v>
      </c>
    </row>
    <row r="513" spans="1:11" s="22" customFormat="1" ht="24.95" customHeight="1" x14ac:dyDescent="0.25">
      <c r="A513" s="21">
        <v>46063</v>
      </c>
      <c r="B513" s="22">
        <v>202602132</v>
      </c>
      <c r="E513" s="22" t="s">
        <v>77</v>
      </c>
      <c r="F513" s="1" t="s">
        <v>6</v>
      </c>
      <c r="G513" s="26"/>
      <c r="H513" s="18" t="s">
        <v>27</v>
      </c>
      <c r="I513" s="18"/>
      <c r="J513" s="30" t="s">
        <v>299</v>
      </c>
      <c r="K513" s="22" t="str">
        <f>+CONCATENATE(Tablo1710612131618202224[[#This Row],[DOSYA NO]],"_",Tablo1710612131618202224[[#This Row],[MÜŞTERİ ADI]],$P$10,"_",Tablo1710612131618202224[[#This Row],[İŞİN ADI]],"_",Tablo1710612131618202224[[#This Row],[İŞİN TÜRÜ]])</f>
        <v>202602132___EKB ÇİZİM VE ONAYI</v>
      </c>
    </row>
    <row r="514" spans="1:11" s="22" customFormat="1" ht="24.95" customHeight="1" x14ac:dyDescent="0.25">
      <c r="A514" s="21">
        <v>46063</v>
      </c>
      <c r="B514" s="22">
        <v>202602133</v>
      </c>
      <c r="E514" s="22" t="s">
        <v>77</v>
      </c>
      <c r="F514" s="1" t="s">
        <v>6</v>
      </c>
      <c r="G514" s="26"/>
      <c r="H514" s="18" t="s">
        <v>27</v>
      </c>
      <c r="I514" s="18"/>
      <c r="J514" s="30" t="s">
        <v>299</v>
      </c>
      <c r="K514" s="22" t="str">
        <f>+CONCATENATE(Tablo1710612131618202224[[#This Row],[DOSYA NO]],"_",Tablo1710612131618202224[[#This Row],[MÜŞTERİ ADI]],$P$10,"_",Tablo1710612131618202224[[#This Row],[İŞİN ADI]],"_",Tablo1710612131618202224[[#This Row],[İŞİN TÜRÜ]])</f>
        <v>202602133___EKB ÇİZİM VE ONAYI</v>
      </c>
    </row>
    <row r="515" spans="1:11" s="22" customFormat="1" ht="24.95" customHeight="1" x14ac:dyDescent="0.25">
      <c r="A515" s="21">
        <v>46064</v>
      </c>
      <c r="B515" s="22">
        <v>202602134</v>
      </c>
      <c r="E515" s="22" t="s">
        <v>17</v>
      </c>
      <c r="F515" s="1" t="s">
        <v>6</v>
      </c>
      <c r="G515" s="26"/>
      <c r="H515" s="18" t="s">
        <v>27</v>
      </c>
      <c r="I515" s="18"/>
      <c r="J515" s="30"/>
      <c r="K515" s="22" t="str">
        <f>+CONCATENATE(Tablo1710612131618202224[[#This Row],[DOSYA NO]],"_",Tablo1710612131618202224[[#This Row],[MÜŞTERİ ADI]],$P$10,"_",Tablo1710612131618202224[[#This Row],[İŞİN ADI]],"_",Tablo1710612131618202224[[#This Row],[İŞİN TÜRÜ]])</f>
        <v>202602134___ÖN HESAP SONUÇ FORMU</v>
      </c>
    </row>
    <row r="516" spans="1:11" s="22" customFormat="1" ht="24.95" customHeight="1" x14ac:dyDescent="0.25">
      <c r="A516" s="21">
        <v>46064</v>
      </c>
      <c r="B516" s="22">
        <v>202602135</v>
      </c>
      <c r="E516" s="22" t="s">
        <v>17</v>
      </c>
      <c r="F516" s="1" t="s">
        <v>6</v>
      </c>
      <c r="G516" s="26"/>
      <c r="H516" s="18" t="s">
        <v>27</v>
      </c>
      <c r="I516" s="18"/>
      <c r="J516" s="30"/>
      <c r="K516" s="22" t="str">
        <f>+CONCATENATE(Tablo1710612131618202224[[#This Row],[DOSYA NO]],"_",Tablo1710612131618202224[[#This Row],[MÜŞTERİ ADI]],$P$10,"_",Tablo1710612131618202224[[#This Row],[İŞİN ADI]],"_",Tablo1710612131618202224[[#This Row],[İŞİN TÜRÜ]])</f>
        <v>202602135___ÖN HESAP SONUÇ FORMU</v>
      </c>
    </row>
    <row r="517" spans="1:11" s="22" customFormat="1" ht="24.95" customHeight="1" x14ac:dyDescent="0.25">
      <c r="A517" s="21">
        <v>46064</v>
      </c>
      <c r="B517" s="22">
        <v>202602136</v>
      </c>
      <c r="E517" s="22" t="s">
        <v>62</v>
      </c>
      <c r="F517" s="1" t="s">
        <v>6</v>
      </c>
      <c r="G517" s="26"/>
      <c r="H517" s="18" t="s">
        <v>27</v>
      </c>
      <c r="I517" s="18"/>
      <c r="J517" s="30"/>
      <c r="K517" s="22" t="str">
        <f>+CONCATENATE(Tablo1710612131618202224[[#This Row],[DOSYA NO]],"_",Tablo1710612131618202224[[#This Row],[MÜŞTERİ ADI]],$P$10,"_",Tablo1710612131618202224[[#This Row],[İŞİN ADI]],"_",Tablo1710612131618202224[[#This Row],[İŞİN TÜRÜ]])</f>
        <v>202602136___EKB ÇİZİMİ</v>
      </c>
    </row>
    <row r="518" spans="1:11" s="22" customFormat="1" ht="24.95" customHeight="1" x14ac:dyDescent="0.25">
      <c r="A518" s="21">
        <v>46064</v>
      </c>
      <c r="B518" s="22">
        <v>202602137</v>
      </c>
      <c r="E518" s="22" t="s">
        <v>62</v>
      </c>
      <c r="F518" s="1" t="s">
        <v>6</v>
      </c>
      <c r="G518" s="26"/>
      <c r="H518" s="18" t="s">
        <v>27</v>
      </c>
      <c r="I518" s="18"/>
      <c r="J518" s="30"/>
      <c r="K518" s="22" t="str">
        <f>+CONCATENATE(Tablo1710612131618202224[[#This Row],[DOSYA NO]],"_",Tablo1710612131618202224[[#This Row],[MÜŞTERİ ADI]],$P$10,"_",Tablo1710612131618202224[[#This Row],[İŞİN ADI]],"_",Tablo1710612131618202224[[#This Row],[İŞİN TÜRÜ]])</f>
        <v>202602137___EKB ÇİZİMİ</v>
      </c>
    </row>
    <row r="519" spans="1:11" s="22" customFormat="1" ht="24.95" customHeight="1" x14ac:dyDescent="0.25">
      <c r="A519" s="21">
        <v>46064</v>
      </c>
      <c r="B519" s="22">
        <v>202602138</v>
      </c>
      <c r="E519" s="22" t="s">
        <v>17</v>
      </c>
      <c r="F519" s="1" t="s">
        <v>6</v>
      </c>
      <c r="G519" s="26"/>
      <c r="H519" s="18" t="s">
        <v>27</v>
      </c>
      <c r="I519" s="18"/>
      <c r="J519" s="30"/>
      <c r="K519" s="22" t="str">
        <f>+CONCATENATE(Tablo1710612131618202224[[#This Row],[DOSYA NO]],"_",Tablo1710612131618202224[[#This Row],[MÜŞTERİ ADI]],$P$10,"_",Tablo1710612131618202224[[#This Row],[İŞİN ADI]],"_",Tablo1710612131618202224[[#This Row],[İŞİN TÜRÜ]])</f>
        <v>202602138___ÖN HESAP SONUÇ FORMU</v>
      </c>
    </row>
    <row r="520" spans="1:11" s="22" customFormat="1" ht="24.95" customHeight="1" x14ac:dyDescent="0.25">
      <c r="A520" s="21">
        <v>46064</v>
      </c>
      <c r="B520" s="22">
        <v>202602139</v>
      </c>
      <c r="E520" s="22" t="s">
        <v>16</v>
      </c>
      <c r="F520" s="1" t="s">
        <v>6</v>
      </c>
      <c r="G520" s="26"/>
      <c r="H520" s="18" t="s">
        <v>27</v>
      </c>
      <c r="I520" s="18"/>
      <c r="J520" s="30"/>
      <c r="K520" s="22" t="str">
        <f>+CONCATENATE(Tablo1710612131618202224[[#This Row],[DOSYA NO]],"_",Tablo1710612131618202224[[#This Row],[MÜŞTERİ ADI]],$P$10,"_",Tablo1710612131618202224[[#This Row],[İŞİN ADI]],"_",Tablo1710612131618202224[[#This Row],[İŞİN TÜRÜ]])</f>
        <v>202602139___AKUSTİK RAPOR &amp; PROJE</v>
      </c>
    </row>
    <row r="521" spans="1:11" s="22" customFormat="1" ht="24.95" customHeight="1" x14ac:dyDescent="0.25">
      <c r="A521" s="21">
        <v>46064</v>
      </c>
      <c r="B521" s="22">
        <v>202602140</v>
      </c>
      <c r="E521" s="22" t="s">
        <v>16</v>
      </c>
      <c r="F521" s="1" t="s">
        <v>6</v>
      </c>
      <c r="G521" s="26"/>
      <c r="H521" s="18" t="s">
        <v>27</v>
      </c>
      <c r="I521" s="18"/>
      <c r="J521" s="30"/>
      <c r="K521" s="22" t="str">
        <f>+CONCATENATE(Tablo1710612131618202224[[#This Row],[DOSYA NO]],"_",Tablo1710612131618202224[[#This Row],[MÜŞTERİ ADI]],$P$10,"_",Tablo1710612131618202224[[#This Row],[İŞİN ADI]],"_",Tablo1710612131618202224[[#This Row],[İŞİN TÜRÜ]])</f>
        <v>202602140___AKUSTİK RAPOR &amp; PROJE</v>
      </c>
    </row>
    <row r="522" spans="1:11" s="22" customFormat="1" ht="24.95" customHeight="1" x14ac:dyDescent="0.25">
      <c r="A522" s="21">
        <v>46064</v>
      </c>
      <c r="B522" s="22">
        <v>202602141</v>
      </c>
      <c r="E522" s="22" t="s">
        <v>17</v>
      </c>
      <c r="F522" s="1" t="s">
        <v>6</v>
      </c>
      <c r="G522" s="26"/>
      <c r="H522" s="18" t="s">
        <v>27</v>
      </c>
      <c r="I522" s="18"/>
      <c r="J522" s="30"/>
      <c r="K522" s="22" t="str">
        <f>+CONCATENATE(Tablo1710612131618202224[[#This Row],[DOSYA NO]],"_",Tablo1710612131618202224[[#This Row],[MÜŞTERİ ADI]],$P$10,"_",Tablo1710612131618202224[[#This Row],[İŞİN ADI]],"_",Tablo1710612131618202224[[#This Row],[İŞİN TÜRÜ]])</f>
        <v>202602141___ÖN HESAP SONUÇ FORMU</v>
      </c>
    </row>
    <row r="523" spans="1:11" s="22" customFormat="1" ht="24.95" customHeight="1" x14ac:dyDescent="0.25">
      <c r="A523" s="21">
        <v>46064</v>
      </c>
      <c r="B523" s="22">
        <v>202602142</v>
      </c>
      <c r="E523" s="22" t="s">
        <v>16</v>
      </c>
      <c r="F523" s="1" t="s">
        <v>6</v>
      </c>
      <c r="G523" s="26"/>
      <c r="H523" s="18" t="s">
        <v>27</v>
      </c>
      <c r="I523" s="18"/>
      <c r="J523" s="30"/>
      <c r="K523" s="22" t="str">
        <f>+CONCATENATE(Tablo1710612131618202224[[#This Row],[DOSYA NO]],"_",Tablo1710612131618202224[[#This Row],[MÜŞTERİ ADI]],$P$10,"_",Tablo1710612131618202224[[#This Row],[İŞİN ADI]],"_",Tablo1710612131618202224[[#This Row],[İŞİN TÜRÜ]])</f>
        <v>202602142___AKUSTİK RAPOR &amp; PROJE</v>
      </c>
    </row>
    <row r="524" spans="1:11" s="22" customFormat="1" ht="24.95" customHeight="1" x14ac:dyDescent="0.25">
      <c r="A524" s="21">
        <v>46064</v>
      </c>
      <c r="B524" s="22">
        <v>202602143</v>
      </c>
      <c r="E524" s="22" t="s">
        <v>62</v>
      </c>
      <c r="F524" s="1" t="s">
        <v>6</v>
      </c>
      <c r="G524" s="26"/>
      <c r="H524" s="18" t="s">
        <v>27</v>
      </c>
      <c r="I524" s="18"/>
      <c r="J524" s="30"/>
      <c r="K524" s="22" t="str">
        <f>+CONCATENATE(Tablo1710612131618202224[[#This Row],[DOSYA NO]],"_",Tablo1710612131618202224[[#This Row],[MÜŞTERİ ADI]],$P$10,"_",Tablo1710612131618202224[[#This Row],[İŞİN ADI]],"_",Tablo1710612131618202224[[#This Row],[İŞİN TÜRÜ]])</f>
        <v>202602143___EKB ÇİZİMİ</v>
      </c>
    </row>
    <row r="525" spans="1:11" s="22" customFormat="1" ht="24.95" customHeight="1" x14ac:dyDescent="0.25">
      <c r="A525" s="21">
        <v>46064</v>
      </c>
      <c r="B525" s="22">
        <v>202602144</v>
      </c>
      <c r="E525" s="22" t="s">
        <v>79</v>
      </c>
      <c r="F525" s="1" t="s">
        <v>6</v>
      </c>
      <c r="G525" s="26"/>
      <c r="H525" s="18" t="s">
        <v>27</v>
      </c>
      <c r="I525" s="18"/>
      <c r="J525" s="30"/>
      <c r="K525" s="22" t="str">
        <f>+CONCATENATE(Tablo1710612131618202224[[#This Row],[DOSYA NO]],"_",Tablo1710612131618202224[[#This Row],[MÜŞTERİ ADI]],$P$10,"_",Tablo1710612131618202224[[#This Row],[İŞİN ADI]],"_",Tablo1710612131618202224[[#This Row],[İŞİN TÜRÜ]])</f>
        <v>202602144___EKB ONAYI</v>
      </c>
    </row>
    <row r="526" spans="1:11" s="22" customFormat="1" ht="24.95" customHeight="1" x14ac:dyDescent="0.25">
      <c r="A526" s="21">
        <v>46064</v>
      </c>
      <c r="B526" s="22">
        <v>202602145</v>
      </c>
      <c r="E526" s="22" t="s">
        <v>62</v>
      </c>
      <c r="F526" s="1" t="s">
        <v>6</v>
      </c>
      <c r="G526" s="26"/>
      <c r="H526" s="18" t="s">
        <v>27</v>
      </c>
      <c r="I526" s="18"/>
      <c r="J526" s="30"/>
      <c r="K526" s="22" t="str">
        <f>+CONCATENATE(Tablo1710612131618202224[[#This Row],[DOSYA NO]],"_",Tablo1710612131618202224[[#This Row],[MÜŞTERİ ADI]],$P$10,"_",Tablo1710612131618202224[[#This Row],[İŞİN ADI]],"_",Tablo1710612131618202224[[#This Row],[İŞİN TÜRÜ]])</f>
        <v>202602145___EKB ÇİZİMİ</v>
      </c>
    </row>
    <row r="527" spans="1:11" s="22" customFormat="1" ht="24.95" customHeight="1" x14ac:dyDescent="0.25">
      <c r="A527" s="21">
        <v>46064</v>
      </c>
      <c r="B527" s="22">
        <v>202602146</v>
      </c>
      <c r="E527" s="22" t="s">
        <v>17</v>
      </c>
      <c r="F527" s="1" t="s">
        <v>6</v>
      </c>
      <c r="G527" s="26"/>
      <c r="H527" s="18" t="s">
        <v>27</v>
      </c>
      <c r="I527" s="18"/>
      <c r="J527" s="30"/>
      <c r="K527" s="22" t="str">
        <f>+CONCATENATE(Tablo1710612131618202224[[#This Row],[DOSYA NO]],"_",Tablo1710612131618202224[[#This Row],[MÜŞTERİ ADI]],$P$10,"_",Tablo1710612131618202224[[#This Row],[İŞİN ADI]],"_",Tablo1710612131618202224[[#This Row],[İŞİN TÜRÜ]])</f>
        <v>202602146___ÖN HESAP SONUÇ FORMU</v>
      </c>
    </row>
    <row r="528" spans="1:11" s="22" customFormat="1" ht="24.95" customHeight="1" x14ac:dyDescent="0.25">
      <c r="A528" s="21">
        <v>46064</v>
      </c>
      <c r="B528" s="22">
        <v>202602147</v>
      </c>
      <c r="E528" s="22" t="s">
        <v>16</v>
      </c>
      <c r="F528" s="1" t="s">
        <v>6</v>
      </c>
      <c r="G528" s="26"/>
      <c r="H528" s="18" t="s">
        <v>27</v>
      </c>
      <c r="I528" s="18"/>
      <c r="J528" s="30"/>
      <c r="K528" s="22" t="str">
        <f>+CONCATENATE(Tablo1710612131618202224[[#This Row],[DOSYA NO]],"_",Tablo1710612131618202224[[#This Row],[MÜŞTERİ ADI]],$P$10,"_",Tablo1710612131618202224[[#This Row],[İŞİN ADI]],"_",Tablo1710612131618202224[[#This Row],[İŞİN TÜRÜ]])</f>
        <v>202602147___AKUSTİK RAPOR &amp; PROJE</v>
      </c>
    </row>
    <row r="529" spans="1:11" s="22" customFormat="1" ht="24.95" customHeight="1" x14ac:dyDescent="0.25">
      <c r="A529" s="21">
        <v>46064</v>
      </c>
      <c r="B529" s="22">
        <v>202602148</v>
      </c>
      <c r="E529" s="22" t="s">
        <v>17</v>
      </c>
      <c r="F529" s="1" t="s">
        <v>6</v>
      </c>
      <c r="G529" s="26"/>
      <c r="H529" s="18" t="s">
        <v>27</v>
      </c>
      <c r="I529" s="18"/>
      <c r="J529" s="30"/>
      <c r="K529" s="22" t="str">
        <f>+CONCATENATE(Tablo1710612131618202224[[#This Row],[DOSYA NO]],"_",Tablo1710612131618202224[[#This Row],[MÜŞTERİ ADI]],$P$10,"_",Tablo1710612131618202224[[#This Row],[İŞİN ADI]],"_",Tablo1710612131618202224[[#This Row],[İŞİN TÜRÜ]])</f>
        <v>202602148___ÖN HESAP SONUÇ FORMU</v>
      </c>
    </row>
    <row r="530" spans="1:11" s="22" customFormat="1" ht="24.95" customHeight="1" x14ac:dyDescent="0.25">
      <c r="A530" s="21">
        <v>46064</v>
      </c>
      <c r="B530" s="22">
        <v>202602149</v>
      </c>
      <c r="E530" s="22" t="s">
        <v>16</v>
      </c>
      <c r="F530" s="1" t="s">
        <v>6</v>
      </c>
      <c r="G530" s="26"/>
      <c r="H530" s="18" t="s">
        <v>27</v>
      </c>
      <c r="I530" s="18"/>
      <c r="J530" s="30"/>
      <c r="K530" s="22" t="str">
        <f>+CONCATENATE(Tablo1710612131618202224[[#This Row],[DOSYA NO]],"_",Tablo1710612131618202224[[#This Row],[MÜŞTERİ ADI]],$P$10,"_",Tablo1710612131618202224[[#This Row],[İŞİN ADI]],"_",Tablo1710612131618202224[[#This Row],[İŞİN TÜRÜ]])</f>
        <v>202602149___AKUSTİK RAPOR &amp; PROJE</v>
      </c>
    </row>
    <row r="531" spans="1:11" s="22" customFormat="1" ht="24.95" customHeight="1" x14ac:dyDescent="0.25">
      <c r="A531" s="21"/>
      <c r="F531" s="1"/>
      <c r="G531" s="26"/>
      <c r="H531" s="18"/>
      <c r="I531" s="18"/>
      <c r="J531" s="30"/>
      <c r="K531" s="22" t="str">
        <f>+CONCATENATE(Tablo1710612131618202224[[#This Row],[DOSYA NO]],"_",Tablo1710612131618202224[[#This Row],[MÜŞTERİ ADI]],$P$10,"_",Tablo1710612131618202224[[#This Row],[İŞİN ADI]],"_",Tablo1710612131618202224[[#This Row],[İŞİN TÜRÜ]])</f>
        <v>___</v>
      </c>
    </row>
    <row r="532" spans="1:11" s="22" customFormat="1" ht="24.95" customHeight="1" x14ac:dyDescent="0.25">
      <c r="A532" s="21"/>
      <c r="F532" s="1"/>
      <c r="G532" s="26"/>
      <c r="H532" s="18"/>
      <c r="I532" s="18"/>
      <c r="J532" s="30"/>
      <c r="K532" s="22" t="str">
        <f>+CONCATENATE(Tablo1710612131618202224[[#This Row],[DOSYA NO]],"_",Tablo1710612131618202224[[#This Row],[MÜŞTERİ ADI]],$P$10,"_",Tablo1710612131618202224[[#This Row],[İŞİN ADI]],"_",Tablo1710612131618202224[[#This Row],[İŞİN TÜRÜ]])</f>
        <v>___</v>
      </c>
    </row>
    <row r="533" spans="1:11" s="22" customFormat="1" ht="24.95" customHeight="1" x14ac:dyDescent="0.25">
      <c r="A533" s="21"/>
      <c r="F533" s="1"/>
      <c r="G533" s="26"/>
      <c r="H533" s="18"/>
      <c r="I533" s="18"/>
      <c r="J533" s="30"/>
      <c r="K533" s="22" t="str">
        <f>+CONCATENATE(Tablo1710612131618202224[[#This Row],[DOSYA NO]],"_",Tablo1710612131618202224[[#This Row],[MÜŞTERİ ADI]],$P$10,"_",Tablo1710612131618202224[[#This Row],[İŞİN ADI]],"_",Tablo1710612131618202224[[#This Row],[İŞİN TÜRÜ]])</f>
        <v>___</v>
      </c>
    </row>
    <row r="534" spans="1:11" s="22" customFormat="1" ht="24.95" customHeight="1" x14ac:dyDescent="0.25">
      <c r="A534" s="21"/>
      <c r="F534" s="1"/>
      <c r="G534" s="26"/>
      <c r="H534" s="18"/>
      <c r="I534" s="18"/>
      <c r="J534" s="30"/>
      <c r="K534" s="22" t="str">
        <f>+CONCATENATE(Tablo1710612131618202224[[#This Row],[DOSYA NO]],"_",Tablo1710612131618202224[[#This Row],[MÜŞTERİ ADI]],$P$10,"_",Tablo1710612131618202224[[#This Row],[İŞİN ADI]],"_",Tablo1710612131618202224[[#This Row],[İŞİN TÜRÜ]])</f>
        <v>___</v>
      </c>
    </row>
    <row r="535" spans="1:11" s="22" customFormat="1" ht="24.95" customHeight="1" x14ac:dyDescent="0.25">
      <c r="A535" s="21"/>
      <c r="F535" s="1"/>
      <c r="G535" s="26"/>
      <c r="H535" s="18"/>
      <c r="I535" s="18"/>
      <c r="J535" s="30"/>
      <c r="K535" s="22" t="str">
        <f>+CONCATENATE(Tablo1710612131618202224[[#This Row],[DOSYA NO]],"_",Tablo1710612131618202224[[#This Row],[MÜŞTERİ ADI]],$P$10,"_",Tablo1710612131618202224[[#This Row],[İŞİN ADI]],"_",Tablo1710612131618202224[[#This Row],[İŞİN TÜRÜ]])</f>
        <v>___</v>
      </c>
    </row>
    <row r="536" spans="1:11" s="22" customFormat="1" ht="24.95" customHeight="1" x14ac:dyDescent="0.25">
      <c r="A536" s="21"/>
      <c r="F536" s="1"/>
      <c r="G536" s="26"/>
      <c r="H536" s="18"/>
      <c r="I536" s="18"/>
      <c r="J536" s="30"/>
      <c r="K536" s="22" t="str">
        <f>+CONCATENATE(Tablo1710612131618202224[[#This Row],[DOSYA NO]],"_",Tablo1710612131618202224[[#This Row],[MÜŞTERİ ADI]],$P$10,"_",Tablo1710612131618202224[[#This Row],[İŞİN ADI]],"_",Tablo1710612131618202224[[#This Row],[İŞİN TÜRÜ]])</f>
        <v>___</v>
      </c>
    </row>
    <row r="537" spans="1:11" s="22" customFormat="1" ht="24.95" customHeight="1" x14ac:dyDescent="0.25">
      <c r="A537" s="21"/>
      <c r="F537" s="1"/>
      <c r="G537" s="26"/>
      <c r="H537" s="18"/>
      <c r="I537" s="18"/>
      <c r="J537" s="30"/>
      <c r="K537" s="22" t="str">
        <f>+CONCATENATE(Tablo1710612131618202224[[#This Row],[DOSYA NO]],"_",Tablo1710612131618202224[[#This Row],[MÜŞTERİ ADI]],$P$10,"_",Tablo1710612131618202224[[#This Row],[İŞİN ADI]],"_",Tablo1710612131618202224[[#This Row],[İŞİN TÜRÜ]])</f>
        <v>___</v>
      </c>
    </row>
    <row r="538" spans="1:11" s="22" customFormat="1" ht="24.95" customHeight="1" x14ac:dyDescent="0.25">
      <c r="A538" s="21"/>
      <c r="F538" s="1"/>
      <c r="G538" s="26"/>
      <c r="H538" s="18"/>
      <c r="I538" s="18"/>
      <c r="J538" s="30"/>
      <c r="K538" s="22" t="str">
        <f>+CONCATENATE(Tablo1710612131618202224[[#This Row],[DOSYA NO]],"_",Tablo1710612131618202224[[#This Row],[MÜŞTERİ ADI]],$P$10,"_",Tablo1710612131618202224[[#This Row],[İŞİN ADI]],"_",Tablo1710612131618202224[[#This Row],[İŞİN TÜRÜ]])</f>
        <v>___</v>
      </c>
    </row>
    <row r="539" spans="1:11" s="22" customFormat="1" ht="24.95" customHeight="1" x14ac:dyDescent="0.25">
      <c r="A539" s="21"/>
      <c r="F539" s="1"/>
      <c r="G539" s="26"/>
      <c r="H539" s="18"/>
      <c r="I539" s="18"/>
      <c r="J539" s="30"/>
      <c r="K539" s="22" t="str">
        <f>+CONCATENATE(Tablo1710612131618202224[[#This Row],[DOSYA NO]],"_",Tablo1710612131618202224[[#This Row],[MÜŞTERİ ADI]],$P$10,"_",Tablo1710612131618202224[[#This Row],[İŞİN ADI]],"_",Tablo1710612131618202224[[#This Row],[İŞİN TÜRÜ]])</f>
        <v>___</v>
      </c>
    </row>
    <row r="540" spans="1:11" s="22" customFormat="1" ht="24.95" customHeight="1" x14ac:dyDescent="0.25">
      <c r="A540" s="21"/>
      <c r="F540" s="1"/>
      <c r="G540" s="26"/>
      <c r="H540" s="18"/>
      <c r="I540" s="18"/>
      <c r="J540" s="30"/>
      <c r="K540" s="22" t="str">
        <f>+CONCATENATE(Tablo1710612131618202224[[#This Row],[DOSYA NO]],"_",Tablo1710612131618202224[[#This Row],[MÜŞTERİ ADI]],$P$10,"_",Tablo1710612131618202224[[#This Row],[İŞİN ADI]],"_",Tablo1710612131618202224[[#This Row],[İŞİN TÜRÜ]])</f>
        <v>___</v>
      </c>
    </row>
    <row r="541" spans="1:11" s="22" customFormat="1" ht="24.95" customHeight="1" x14ac:dyDescent="0.25">
      <c r="A541" s="21"/>
      <c r="F541" s="1"/>
      <c r="G541" s="26"/>
      <c r="H541" s="18"/>
      <c r="I541" s="18"/>
      <c r="J541" s="30"/>
      <c r="K541" s="22" t="str">
        <f>+CONCATENATE(Tablo1710612131618202224[[#This Row],[DOSYA NO]],"_",Tablo1710612131618202224[[#This Row],[MÜŞTERİ ADI]],$P$10,"_",Tablo1710612131618202224[[#This Row],[İŞİN ADI]],"_",Tablo1710612131618202224[[#This Row],[İŞİN TÜRÜ]])</f>
        <v>___</v>
      </c>
    </row>
    <row r="542" spans="1:11" s="22" customFormat="1" ht="24.95" customHeight="1" x14ac:dyDescent="0.25">
      <c r="A542" s="21"/>
      <c r="F542" s="1"/>
      <c r="G542" s="26"/>
      <c r="H542" s="18"/>
      <c r="I542" s="18"/>
      <c r="J542" s="30"/>
      <c r="K542" s="22" t="str">
        <f>+CONCATENATE(Tablo1710612131618202224[[#This Row],[DOSYA NO]],"_",Tablo1710612131618202224[[#This Row],[MÜŞTERİ ADI]],$P$10,"_",Tablo1710612131618202224[[#This Row],[İŞİN ADI]],"_",Tablo1710612131618202224[[#This Row],[İŞİN TÜRÜ]])</f>
        <v>___</v>
      </c>
    </row>
    <row r="543" spans="1:11" s="22" customFormat="1" ht="24.95" customHeight="1" x14ac:dyDescent="0.25">
      <c r="A543" s="21"/>
      <c r="F543" s="1"/>
      <c r="G543" s="26"/>
      <c r="H543" s="18"/>
      <c r="I543" s="18"/>
      <c r="J543" s="30"/>
      <c r="K543" s="22" t="str">
        <f>+CONCATENATE(Tablo1710612131618202224[[#This Row],[DOSYA NO]],"_",Tablo1710612131618202224[[#This Row],[MÜŞTERİ ADI]],$P$10,"_",Tablo1710612131618202224[[#This Row],[İŞİN ADI]],"_",Tablo1710612131618202224[[#This Row],[İŞİN TÜRÜ]])</f>
        <v>___</v>
      </c>
    </row>
    <row r="544" spans="1:11" s="22" customFormat="1" ht="24.95" customHeight="1" x14ac:dyDescent="0.25">
      <c r="A544" s="21"/>
      <c r="F544" s="1"/>
      <c r="G544" s="26"/>
      <c r="H544" s="18"/>
      <c r="I544" s="18"/>
      <c r="J544" s="30"/>
      <c r="K544" s="22" t="str">
        <f>+CONCATENATE(Tablo1710612131618202224[[#This Row],[DOSYA NO]],"_",Tablo1710612131618202224[[#This Row],[MÜŞTERİ ADI]],$P$10,"_",Tablo1710612131618202224[[#This Row],[İŞİN ADI]],"_",Tablo1710612131618202224[[#This Row],[İŞİN TÜRÜ]])</f>
        <v>___</v>
      </c>
    </row>
    <row r="545" spans="1:11" s="22" customFormat="1" ht="24.95" customHeight="1" x14ac:dyDescent="0.25">
      <c r="A545" s="21"/>
      <c r="F545" s="1"/>
      <c r="G545" s="26"/>
      <c r="H545" s="18"/>
      <c r="I545" s="18"/>
      <c r="J545" s="30"/>
      <c r="K545" s="22" t="str">
        <f>+CONCATENATE(Tablo1710612131618202224[[#This Row],[DOSYA NO]],"_",Tablo1710612131618202224[[#This Row],[MÜŞTERİ ADI]],$P$10,"_",Tablo1710612131618202224[[#This Row],[İŞİN ADI]],"_",Tablo1710612131618202224[[#This Row],[İŞİN TÜRÜ]])</f>
        <v>___</v>
      </c>
    </row>
    <row r="546" spans="1:11" s="22" customFormat="1" ht="24.95" customHeight="1" x14ac:dyDescent="0.25">
      <c r="A546" s="21"/>
      <c r="F546" s="1"/>
      <c r="G546" s="26"/>
      <c r="H546" s="18"/>
      <c r="I546" s="18"/>
      <c r="J546" s="30"/>
      <c r="K546" s="22" t="str">
        <f>+CONCATENATE(Tablo1710612131618202224[[#This Row],[DOSYA NO]],"_",Tablo1710612131618202224[[#This Row],[MÜŞTERİ ADI]],$P$10,"_",Tablo1710612131618202224[[#This Row],[İŞİN ADI]],"_",Tablo1710612131618202224[[#This Row],[İŞİN TÜRÜ]])</f>
        <v>___</v>
      </c>
    </row>
    <row r="547" spans="1:11" s="22" customFormat="1" ht="24.95" customHeight="1" x14ac:dyDescent="0.25">
      <c r="A547" s="21"/>
      <c r="F547" s="1"/>
      <c r="G547" s="26"/>
      <c r="H547" s="18"/>
      <c r="I547" s="18"/>
      <c r="J547" s="30"/>
      <c r="K547" s="22" t="str">
        <f>+CONCATENATE(Tablo1710612131618202224[[#This Row],[DOSYA NO]],"_",Tablo1710612131618202224[[#This Row],[MÜŞTERİ ADI]],$P$10,"_",Tablo1710612131618202224[[#This Row],[İŞİN ADI]],"_",Tablo1710612131618202224[[#This Row],[İŞİN TÜRÜ]])</f>
        <v>___</v>
      </c>
    </row>
    <row r="548" spans="1:11" s="22" customFormat="1" ht="24.95" customHeight="1" x14ac:dyDescent="0.25">
      <c r="A548" s="21"/>
      <c r="F548" s="1"/>
      <c r="G548" s="26"/>
      <c r="H548" s="18"/>
      <c r="I548" s="18"/>
      <c r="J548" s="30"/>
      <c r="K548" s="22" t="str">
        <f>+CONCATENATE(Tablo1710612131618202224[[#This Row],[DOSYA NO]],"_",Tablo1710612131618202224[[#This Row],[MÜŞTERİ ADI]],$P$10,"_",Tablo1710612131618202224[[#This Row],[İŞİN ADI]],"_",Tablo1710612131618202224[[#This Row],[İŞİN TÜRÜ]])</f>
        <v>___</v>
      </c>
    </row>
    <row r="549" spans="1:11" s="22" customFormat="1" ht="24.95" customHeight="1" x14ac:dyDescent="0.25">
      <c r="A549" s="21"/>
      <c r="F549" s="1"/>
      <c r="G549" s="26"/>
      <c r="H549" s="18"/>
      <c r="I549" s="18"/>
      <c r="J549" s="30"/>
      <c r="K549" s="22" t="str">
        <f>+CONCATENATE(Tablo1710612131618202224[[#This Row],[DOSYA NO]],"_",Tablo1710612131618202224[[#This Row],[MÜŞTERİ ADI]],$P$10,"_",Tablo1710612131618202224[[#This Row],[İŞİN ADI]],"_",Tablo1710612131618202224[[#This Row],[İŞİN TÜRÜ]])</f>
        <v>___</v>
      </c>
    </row>
    <row r="550" spans="1:11" s="22" customFormat="1" ht="24.95" customHeight="1" x14ac:dyDescent="0.25">
      <c r="A550" s="21"/>
      <c r="F550" s="1"/>
      <c r="G550" s="26"/>
      <c r="H550" s="18"/>
      <c r="I550" s="18"/>
      <c r="J550" s="30"/>
      <c r="K550" s="22" t="str">
        <f>+CONCATENATE(Tablo1710612131618202224[[#This Row],[DOSYA NO]],"_",Tablo1710612131618202224[[#This Row],[MÜŞTERİ ADI]],$P$10,"_",Tablo1710612131618202224[[#This Row],[İŞİN ADI]],"_",Tablo1710612131618202224[[#This Row],[İŞİN TÜRÜ]])</f>
        <v>___</v>
      </c>
    </row>
    <row r="551" spans="1:11" s="22" customFormat="1" ht="24.95" customHeight="1" x14ac:dyDescent="0.25">
      <c r="A551" s="21"/>
      <c r="F551" s="1"/>
      <c r="G551" s="26"/>
      <c r="H551" s="18"/>
      <c r="I551" s="18"/>
      <c r="J551" s="30"/>
      <c r="K551" s="22" t="str">
        <f>+CONCATENATE(Tablo1710612131618202224[[#This Row],[DOSYA NO]],"_",Tablo1710612131618202224[[#This Row],[MÜŞTERİ ADI]],$P$10,"_",Tablo1710612131618202224[[#This Row],[İŞİN ADI]],"_",Tablo1710612131618202224[[#This Row],[İŞİN TÜRÜ]])</f>
        <v>___</v>
      </c>
    </row>
    <row r="552" spans="1:11" s="22" customFormat="1" ht="24.95" customHeight="1" x14ac:dyDescent="0.25">
      <c r="A552" s="21"/>
      <c r="F552" s="1"/>
      <c r="G552" s="26"/>
      <c r="H552" s="18"/>
      <c r="I552" s="18"/>
      <c r="J552" s="30"/>
      <c r="K552" s="22" t="str">
        <f>+CONCATENATE(Tablo1710612131618202224[[#This Row],[DOSYA NO]],"_",Tablo1710612131618202224[[#This Row],[MÜŞTERİ ADI]],$P$10,"_",Tablo1710612131618202224[[#This Row],[İŞİN ADI]],"_",Tablo1710612131618202224[[#This Row],[İŞİN TÜRÜ]])</f>
        <v>___</v>
      </c>
    </row>
    <row r="553" spans="1:11" s="22" customFormat="1" ht="24.95" customHeight="1" x14ac:dyDescent="0.25">
      <c r="A553" s="21"/>
      <c r="F553" s="1"/>
      <c r="G553" s="26"/>
      <c r="H553" s="18"/>
      <c r="I553" s="18"/>
      <c r="J553" s="30"/>
      <c r="K553" s="22" t="str">
        <f>+CONCATENATE(Tablo1710612131618202224[[#This Row],[DOSYA NO]],"_",Tablo1710612131618202224[[#This Row],[MÜŞTERİ ADI]],$P$10,"_",Tablo1710612131618202224[[#This Row],[İŞİN ADI]],"_",Tablo1710612131618202224[[#This Row],[İŞİN TÜRÜ]])</f>
        <v>___</v>
      </c>
    </row>
    <row r="554" spans="1:11" s="22" customFormat="1" ht="24.95" customHeight="1" x14ac:dyDescent="0.25">
      <c r="A554" s="21"/>
      <c r="F554" s="1"/>
      <c r="G554" s="26"/>
      <c r="H554" s="18"/>
      <c r="I554" s="18"/>
      <c r="J554" s="30"/>
      <c r="K554" s="22" t="str">
        <f>+CONCATENATE(Tablo1710612131618202224[[#This Row],[DOSYA NO]],"_",Tablo1710612131618202224[[#This Row],[MÜŞTERİ ADI]],$P$10,"_",Tablo1710612131618202224[[#This Row],[İŞİN ADI]],"_",Tablo1710612131618202224[[#This Row],[İŞİN TÜRÜ]])</f>
        <v>___</v>
      </c>
    </row>
    <row r="555" spans="1:11" s="22" customFormat="1" ht="24.95" customHeight="1" x14ac:dyDescent="0.25">
      <c r="A555" s="21"/>
      <c r="F555" s="1"/>
      <c r="G555" s="26"/>
      <c r="H555" s="18"/>
      <c r="I555" s="18"/>
      <c r="J555" s="30"/>
      <c r="K555" s="22" t="str">
        <f>+CONCATENATE(Tablo1710612131618202224[[#This Row],[DOSYA NO]],"_",Tablo1710612131618202224[[#This Row],[MÜŞTERİ ADI]],$P$10,"_",Tablo1710612131618202224[[#This Row],[İŞİN ADI]],"_",Tablo1710612131618202224[[#This Row],[İŞİN TÜRÜ]])</f>
        <v>___</v>
      </c>
    </row>
    <row r="556" spans="1:11" s="22" customFormat="1" ht="24.95" customHeight="1" x14ac:dyDescent="0.25">
      <c r="A556" s="21"/>
      <c r="F556" s="1"/>
      <c r="G556" s="26"/>
      <c r="H556" s="18"/>
      <c r="I556" s="18"/>
      <c r="J556" s="30"/>
      <c r="K556" s="22" t="str">
        <f>+CONCATENATE(Tablo1710612131618202224[[#This Row],[DOSYA NO]],"_",Tablo1710612131618202224[[#This Row],[MÜŞTERİ ADI]],$P$10,"_",Tablo1710612131618202224[[#This Row],[İŞİN ADI]],"_",Tablo1710612131618202224[[#This Row],[İŞİN TÜRÜ]])</f>
        <v>___</v>
      </c>
    </row>
    <row r="557" spans="1:11" s="22" customFormat="1" ht="24.95" customHeight="1" x14ac:dyDescent="0.25">
      <c r="A557" s="21"/>
      <c r="F557" s="1"/>
      <c r="G557" s="26"/>
      <c r="H557" s="18"/>
      <c r="I557" s="18"/>
      <c r="J557" s="30"/>
      <c r="K557" s="22" t="str">
        <f>+CONCATENATE(Tablo1710612131618202224[[#This Row],[DOSYA NO]],"_",Tablo1710612131618202224[[#This Row],[MÜŞTERİ ADI]],$P$10,"_",Tablo1710612131618202224[[#This Row],[İŞİN ADI]],"_",Tablo1710612131618202224[[#This Row],[İŞİN TÜRÜ]])</f>
        <v>___</v>
      </c>
    </row>
    <row r="558" spans="1:11" s="22" customFormat="1" ht="24.95" customHeight="1" x14ac:dyDescent="0.25">
      <c r="A558" s="21"/>
      <c r="F558" s="1"/>
      <c r="G558" s="26"/>
      <c r="H558" s="18"/>
      <c r="I558" s="18"/>
      <c r="J558" s="30"/>
      <c r="K558" s="22" t="str">
        <f>+CONCATENATE(Tablo1710612131618202224[[#This Row],[DOSYA NO]],"_",Tablo1710612131618202224[[#This Row],[MÜŞTERİ ADI]],$P$10,"_",Tablo1710612131618202224[[#This Row],[İŞİN ADI]],"_",Tablo1710612131618202224[[#This Row],[İŞİN TÜRÜ]])</f>
        <v>___</v>
      </c>
    </row>
    <row r="559" spans="1:11" s="22" customFormat="1" ht="24.95" customHeight="1" x14ac:dyDescent="0.25">
      <c r="A559" s="21"/>
      <c r="F559" s="1"/>
      <c r="G559" s="26"/>
      <c r="H559" s="18"/>
      <c r="I559" s="18"/>
      <c r="J559" s="30"/>
      <c r="K559" s="22" t="str">
        <f>+CONCATENATE(Tablo1710612131618202224[[#This Row],[DOSYA NO]],"_",Tablo1710612131618202224[[#This Row],[MÜŞTERİ ADI]],$P$10,"_",Tablo1710612131618202224[[#This Row],[İŞİN ADI]],"_",Tablo1710612131618202224[[#This Row],[İŞİN TÜRÜ]])</f>
        <v>___</v>
      </c>
    </row>
    <row r="560" spans="1:11" s="22" customFormat="1" ht="24.95" customHeight="1" x14ac:dyDescent="0.25">
      <c r="A560" s="21"/>
      <c r="F560" s="1"/>
      <c r="G560" s="26"/>
      <c r="H560" s="18"/>
      <c r="I560" s="18"/>
      <c r="J560" s="30"/>
      <c r="K560" s="22" t="str">
        <f>+CONCATENATE(Tablo1710612131618202224[[#This Row],[DOSYA NO]],"_",Tablo1710612131618202224[[#This Row],[MÜŞTERİ ADI]],$P$10,"_",Tablo1710612131618202224[[#This Row],[İŞİN ADI]],"_",Tablo1710612131618202224[[#This Row],[İŞİN TÜRÜ]])</f>
        <v>___</v>
      </c>
    </row>
    <row r="561" spans="1:11" s="22" customFormat="1" ht="24.95" customHeight="1" x14ac:dyDescent="0.25">
      <c r="A561" s="21"/>
      <c r="F561" s="1"/>
      <c r="G561" s="26"/>
      <c r="H561" s="18"/>
      <c r="I561" s="18"/>
      <c r="J561" s="30"/>
      <c r="K561" s="22" t="str">
        <f>+CONCATENATE(Tablo1710612131618202224[[#This Row],[DOSYA NO]],"_",Tablo1710612131618202224[[#This Row],[MÜŞTERİ ADI]],$P$10,"_",Tablo1710612131618202224[[#This Row],[İŞİN ADI]],"_",Tablo1710612131618202224[[#This Row],[İŞİN TÜRÜ]])</f>
        <v>___</v>
      </c>
    </row>
    <row r="562" spans="1:11" s="22" customFormat="1" ht="24.95" customHeight="1" x14ac:dyDescent="0.25">
      <c r="A562" s="21"/>
      <c r="F562" s="1"/>
      <c r="G562" s="26"/>
      <c r="H562" s="18"/>
      <c r="I562" s="18"/>
      <c r="J562" s="30"/>
      <c r="K562" s="22" t="str">
        <f>+CONCATENATE(Tablo1710612131618202224[[#This Row],[DOSYA NO]],"_",Tablo1710612131618202224[[#This Row],[MÜŞTERİ ADI]],$P$10,"_",Tablo1710612131618202224[[#This Row],[İŞİN ADI]],"_",Tablo1710612131618202224[[#This Row],[İŞİN TÜRÜ]])</f>
        <v>___</v>
      </c>
    </row>
    <row r="563" spans="1:11" s="22" customFormat="1" ht="24.95" customHeight="1" x14ac:dyDescent="0.25">
      <c r="A563" s="21"/>
      <c r="F563" s="1"/>
      <c r="G563" s="26"/>
      <c r="H563" s="18"/>
      <c r="I563" s="18"/>
      <c r="J563" s="30"/>
      <c r="K563" s="22" t="str">
        <f>+CONCATENATE(Tablo1710612131618202224[[#This Row],[DOSYA NO]],"_",Tablo1710612131618202224[[#This Row],[MÜŞTERİ ADI]],$P$10,"_",Tablo1710612131618202224[[#This Row],[İŞİN ADI]],"_",Tablo1710612131618202224[[#This Row],[İŞİN TÜRÜ]])</f>
        <v>___</v>
      </c>
    </row>
    <row r="564" spans="1:11" s="22" customFormat="1" ht="24.95" customHeight="1" x14ac:dyDescent="0.25">
      <c r="A564" s="21"/>
      <c r="F564" s="1"/>
      <c r="G564" s="26"/>
      <c r="H564" s="18"/>
      <c r="I564" s="18"/>
      <c r="J564" s="30"/>
      <c r="K564" s="22" t="str">
        <f>+CONCATENATE(Tablo1710612131618202224[[#This Row],[DOSYA NO]],"_",Tablo1710612131618202224[[#This Row],[MÜŞTERİ ADI]],$P$10,"_",Tablo1710612131618202224[[#This Row],[İŞİN ADI]],"_",Tablo1710612131618202224[[#This Row],[İŞİN TÜRÜ]])</f>
        <v>___</v>
      </c>
    </row>
    <row r="565" spans="1:11" s="22" customFormat="1" ht="24.95" customHeight="1" x14ac:dyDescent="0.25">
      <c r="A565" s="21"/>
      <c r="F565" s="1"/>
      <c r="G565" s="26"/>
      <c r="H565" s="18"/>
      <c r="I565" s="18"/>
      <c r="J565" s="30"/>
      <c r="K565" s="22" t="str">
        <f>+CONCATENATE(Tablo1710612131618202224[[#This Row],[DOSYA NO]],"_",Tablo1710612131618202224[[#This Row],[MÜŞTERİ ADI]],$P$10,"_",Tablo1710612131618202224[[#This Row],[İŞİN ADI]],"_",Tablo1710612131618202224[[#This Row],[İŞİN TÜRÜ]])</f>
        <v>___</v>
      </c>
    </row>
    <row r="566" spans="1:11" s="22" customFormat="1" ht="24.95" customHeight="1" x14ac:dyDescent="0.25">
      <c r="A566" s="21"/>
      <c r="F566" s="1"/>
      <c r="G566" s="26"/>
      <c r="H566" s="18"/>
      <c r="I566" s="18"/>
      <c r="J566" s="30"/>
      <c r="K566" s="22" t="str">
        <f>+CONCATENATE(Tablo1710612131618202224[[#This Row],[DOSYA NO]],"_",Tablo1710612131618202224[[#This Row],[MÜŞTERİ ADI]],$P$10,"_",Tablo1710612131618202224[[#This Row],[İŞİN ADI]],"_",Tablo1710612131618202224[[#This Row],[İŞİN TÜRÜ]])</f>
        <v>___</v>
      </c>
    </row>
    <row r="567" spans="1:11" s="22" customFormat="1" ht="24.95" customHeight="1" x14ac:dyDescent="0.25">
      <c r="A567" s="21"/>
      <c r="F567" s="1"/>
      <c r="G567" s="26"/>
      <c r="H567" s="18"/>
      <c r="I567" s="18"/>
      <c r="J567" s="30"/>
      <c r="K567" s="22" t="str">
        <f>+CONCATENATE(Tablo1710612131618202224[[#This Row],[DOSYA NO]],"_",Tablo1710612131618202224[[#This Row],[MÜŞTERİ ADI]],$P$10,"_",Tablo1710612131618202224[[#This Row],[İŞİN ADI]],"_",Tablo1710612131618202224[[#This Row],[İŞİN TÜRÜ]])</f>
        <v>___</v>
      </c>
    </row>
    <row r="568" spans="1:11" s="22" customFormat="1" ht="24.95" customHeight="1" x14ac:dyDescent="0.25">
      <c r="A568" s="21"/>
      <c r="F568" s="1"/>
      <c r="G568" s="26"/>
      <c r="H568" s="18"/>
      <c r="I568" s="18"/>
      <c r="J568" s="30"/>
      <c r="K568" s="22" t="str">
        <f>+CONCATENATE(Tablo1710612131618202224[[#This Row],[DOSYA NO]],"_",Tablo1710612131618202224[[#This Row],[MÜŞTERİ ADI]],$P$10,"_",Tablo1710612131618202224[[#This Row],[İŞİN ADI]],"_",Tablo1710612131618202224[[#This Row],[İŞİN TÜRÜ]])</f>
        <v>___</v>
      </c>
    </row>
    <row r="569" spans="1:11" s="22" customFormat="1" ht="24.95" customHeight="1" x14ac:dyDescent="0.25">
      <c r="A569" s="21"/>
      <c r="F569" s="1"/>
      <c r="G569" s="26"/>
      <c r="H569" s="18"/>
      <c r="I569" s="18"/>
      <c r="J569" s="30"/>
      <c r="K569" s="22" t="str">
        <f>+CONCATENATE(Tablo1710612131618202224[[#This Row],[DOSYA NO]],"_",Tablo1710612131618202224[[#This Row],[MÜŞTERİ ADI]],$P$10,"_",Tablo1710612131618202224[[#This Row],[İŞİN ADI]],"_",Tablo1710612131618202224[[#This Row],[İŞİN TÜRÜ]])</f>
        <v>___</v>
      </c>
    </row>
    <row r="570" spans="1:11" s="22" customFormat="1" ht="24.95" customHeight="1" x14ac:dyDescent="0.25">
      <c r="A570" s="21"/>
      <c r="F570" s="1"/>
      <c r="G570" s="26"/>
      <c r="H570" s="18"/>
      <c r="I570" s="18"/>
      <c r="J570" s="30"/>
      <c r="K570" s="22" t="str">
        <f>+CONCATENATE(Tablo1710612131618202224[[#This Row],[DOSYA NO]],"_",Tablo1710612131618202224[[#This Row],[MÜŞTERİ ADI]],$P$10,"_",Tablo1710612131618202224[[#This Row],[İŞİN ADI]],"_",Tablo1710612131618202224[[#This Row],[İŞİN TÜRÜ]])</f>
        <v>___</v>
      </c>
    </row>
    <row r="571" spans="1:11" s="22" customFormat="1" ht="24.95" customHeight="1" x14ac:dyDescent="0.25">
      <c r="A571" s="21"/>
      <c r="F571" s="1"/>
      <c r="G571" s="26"/>
      <c r="H571" s="18"/>
      <c r="I571" s="18"/>
      <c r="J571" s="30"/>
      <c r="K571" s="22" t="str">
        <f>+CONCATENATE(Tablo1710612131618202224[[#This Row],[DOSYA NO]],"_",Tablo1710612131618202224[[#This Row],[MÜŞTERİ ADI]],$P$10,"_",Tablo1710612131618202224[[#This Row],[İŞİN ADI]],"_",Tablo1710612131618202224[[#This Row],[İŞİN TÜRÜ]])</f>
        <v>___</v>
      </c>
    </row>
    <row r="572" spans="1:11" s="22" customFormat="1" ht="24.95" customHeight="1" x14ac:dyDescent="0.25">
      <c r="A572" s="21"/>
      <c r="F572" s="1"/>
      <c r="G572" s="26"/>
      <c r="H572" s="18"/>
      <c r="I572" s="18"/>
      <c r="J572" s="30"/>
      <c r="K572" s="22" t="str">
        <f>+CONCATENATE(Tablo1710612131618202224[[#This Row],[DOSYA NO]],"_",Tablo1710612131618202224[[#This Row],[MÜŞTERİ ADI]],$P$10,"_",Tablo1710612131618202224[[#This Row],[İŞİN ADI]],"_",Tablo1710612131618202224[[#This Row],[İŞİN TÜRÜ]])</f>
        <v>___</v>
      </c>
    </row>
    <row r="573" spans="1:11" s="22" customFormat="1" ht="24.95" customHeight="1" x14ac:dyDescent="0.25">
      <c r="A573" s="21"/>
      <c r="F573" s="1"/>
      <c r="G573" s="26"/>
      <c r="H573" s="18"/>
      <c r="I573" s="18"/>
      <c r="J573" s="30"/>
      <c r="K573" s="22" t="str">
        <f>+CONCATENATE(Tablo1710612131618202224[[#This Row],[DOSYA NO]],"_",Tablo1710612131618202224[[#This Row],[MÜŞTERİ ADI]],$P$10,"_",Tablo1710612131618202224[[#This Row],[İŞİN ADI]],"_",Tablo1710612131618202224[[#This Row],[İŞİN TÜRÜ]])</f>
        <v>___</v>
      </c>
    </row>
    <row r="574" spans="1:11" s="22" customFormat="1" ht="24.95" customHeight="1" x14ac:dyDescent="0.25">
      <c r="A574" s="21"/>
      <c r="F574" s="1"/>
      <c r="G574" s="26"/>
      <c r="H574" s="18"/>
      <c r="I574" s="18"/>
      <c r="J574" s="30"/>
      <c r="K574" s="22" t="str">
        <f>+CONCATENATE(Tablo1710612131618202224[[#This Row],[DOSYA NO]],"_",Tablo1710612131618202224[[#This Row],[MÜŞTERİ ADI]],$P$10,"_",Tablo1710612131618202224[[#This Row],[İŞİN ADI]],"_",Tablo1710612131618202224[[#This Row],[İŞİN TÜRÜ]])</f>
        <v>___</v>
      </c>
    </row>
    <row r="575" spans="1:11" s="22" customFormat="1" ht="24.95" customHeight="1" x14ac:dyDescent="0.25">
      <c r="A575" s="21"/>
      <c r="F575" s="1"/>
      <c r="G575" s="26"/>
      <c r="H575" s="18"/>
      <c r="I575" s="18"/>
      <c r="J575" s="30"/>
      <c r="K575" s="22" t="str">
        <f>+CONCATENATE(Tablo1710612131618202224[[#This Row],[DOSYA NO]],"_",Tablo1710612131618202224[[#This Row],[MÜŞTERİ ADI]],$P$10,"_",Tablo1710612131618202224[[#This Row],[İŞİN ADI]],"_",Tablo1710612131618202224[[#This Row],[İŞİN TÜRÜ]])</f>
        <v>___</v>
      </c>
    </row>
    <row r="576" spans="1:11" s="22" customFormat="1" ht="24.95" customHeight="1" x14ac:dyDescent="0.25">
      <c r="A576" s="21"/>
      <c r="F576" s="1"/>
      <c r="G576" s="26"/>
      <c r="H576" s="18"/>
      <c r="I576" s="18"/>
      <c r="J576" s="30"/>
      <c r="K576" s="22" t="str">
        <f>+CONCATENATE(Tablo1710612131618202224[[#This Row],[DOSYA NO]],"_",Tablo1710612131618202224[[#This Row],[MÜŞTERİ ADI]],$P$10,"_",Tablo1710612131618202224[[#This Row],[İŞİN ADI]],"_",Tablo1710612131618202224[[#This Row],[İŞİN TÜRÜ]])</f>
        <v>___</v>
      </c>
    </row>
    <row r="577" spans="1:11" s="22" customFormat="1" ht="24.95" customHeight="1" x14ac:dyDescent="0.25">
      <c r="A577" s="21"/>
      <c r="F577" s="1"/>
      <c r="G577" s="26"/>
      <c r="H577" s="18"/>
      <c r="I577" s="18"/>
      <c r="J577" s="30"/>
      <c r="K577" s="22" t="str">
        <f>+CONCATENATE(Tablo1710612131618202224[[#This Row],[DOSYA NO]],"_",Tablo1710612131618202224[[#This Row],[MÜŞTERİ ADI]],$P$10,"_",Tablo1710612131618202224[[#This Row],[İŞİN ADI]],"_",Tablo1710612131618202224[[#This Row],[İŞİN TÜRÜ]])</f>
        <v>___</v>
      </c>
    </row>
    <row r="578" spans="1:11" s="22" customFormat="1" ht="24.95" customHeight="1" x14ac:dyDescent="0.25">
      <c r="A578" s="21"/>
      <c r="F578" s="1"/>
      <c r="G578" s="26"/>
      <c r="H578" s="18"/>
      <c r="I578" s="18"/>
      <c r="J578" s="30"/>
      <c r="K578" s="22" t="str">
        <f>+CONCATENATE(Tablo1710612131618202224[[#This Row],[DOSYA NO]],"_",Tablo1710612131618202224[[#This Row],[MÜŞTERİ ADI]],$P$10,"_",Tablo1710612131618202224[[#This Row],[İŞİN ADI]],"_",Tablo1710612131618202224[[#This Row],[İŞİN TÜRÜ]])</f>
        <v>___</v>
      </c>
    </row>
    <row r="579" spans="1:11" s="22" customFormat="1" ht="24.95" customHeight="1" x14ac:dyDescent="0.25">
      <c r="A579" s="21"/>
      <c r="F579" s="1"/>
      <c r="G579" s="26"/>
      <c r="H579" s="18"/>
      <c r="I579" s="18"/>
      <c r="J579" s="30"/>
      <c r="K579" s="22" t="str">
        <f>+CONCATENATE(Tablo1710612131618202224[[#This Row],[DOSYA NO]],"_",Tablo1710612131618202224[[#This Row],[MÜŞTERİ ADI]],$P$10,"_",Tablo1710612131618202224[[#This Row],[İŞİN ADI]],"_",Tablo1710612131618202224[[#This Row],[İŞİN TÜRÜ]])</f>
        <v>___</v>
      </c>
    </row>
    <row r="580" spans="1:11" s="22" customFormat="1" ht="24.95" customHeight="1" x14ac:dyDescent="0.25">
      <c r="A580" s="21"/>
      <c r="F580" s="1"/>
      <c r="G580" s="26"/>
      <c r="H580" s="18"/>
      <c r="I580" s="18"/>
      <c r="J580" s="30"/>
      <c r="K580" s="22" t="str">
        <f>+CONCATENATE(Tablo1710612131618202224[[#This Row],[DOSYA NO]],"_",Tablo1710612131618202224[[#This Row],[MÜŞTERİ ADI]],$P$10,"_",Tablo1710612131618202224[[#This Row],[İŞİN ADI]],"_",Tablo1710612131618202224[[#This Row],[İŞİN TÜRÜ]])</f>
        <v>___</v>
      </c>
    </row>
    <row r="581" spans="1:11" s="22" customFormat="1" ht="24.95" customHeight="1" x14ac:dyDescent="0.25">
      <c r="A581" s="21"/>
      <c r="F581" s="1"/>
      <c r="G581" s="26"/>
      <c r="H581" s="18"/>
      <c r="I581" s="18"/>
      <c r="J581" s="30"/>
      <c r="K581" s="22" t="str">
        <f>+CONCATENATE(Tablo1710612131618202224[[#This Row],[DOSYA NO]],"_",Tablo1710612131618202224[[#This Row],[MÜŞTERİ ADI]],$P$10,"_",Tablo1710612131618202224[[#This Row],[İŞİN ADI]],"_",Tablo1710612131618202224[[#This Row],[İŞİN TÜRÜ]])</f>
        <v>___</v>
      </c>
    </row>
    <row r="582" spans="1:11" s="22" customFormat="1" ht="24.95" customHeight="1" x14ac:dyDescent="0.25">
      <c r="A582" s="21"/>
      <c r="F582" s="1"/>
      <c r="G582" s="26"/>
      <c r="H582" s="18"/>
      <c r="I582" s="18"/>
      <c r="J582" s="30"/>
      <c r="K582" s="22" t="str">
        <f>+CONCATENATE(Tablo1710612131618202224[[#This Row],[DOSYA NO]],"_",Tablo1710612131618202224[[#This Row],[MÜŞTERİ ADI]],$P$10,"_",Tablo1710612131618202224[[#This Row],[İŞİN ADI]],"_",Tablo1710612131618202224[[#This Row],[İŞİN TÜRÜ]])</f>
        <v>___</v>
      </c>
    </row>
    <row r="583" spans="1:11" s="22" customFormat="1" ht="24.95" customHeight="1" x14ac:dyDescent="0.25">
      <c r="A583" s="21"/>
      <c r="F583" s="1"/>
      <c r="G583" s="26"/>
      <c r="H583" s="18"/>
      <c r="I583" s="18"/>
      <c r="J583" s="30"/>
      <c r="K583" s="22" t="str">
        <f>+CONCATENATE(Tablo1710612131618202224[[#This Row],[DOSYA NO]],"_",Tablo1710612131618202224[[#This Row],[MÜŞTERİ ADI]],$P$10,"_",Tablo1710612131618202224[[#This Row],[İŞİN ADI]],"_",Tablo1710612131618202224[[#This Row],[İŞİN TÜRÜ]])</f>
        <v>___</v>
      </c>
    </row>
    <row r="584" spans="1:11" s="22" customFormat="1" ht="24.95" customHeight="1" x14ac:dyDescent="0.25">
      <c r="A584" s="21"/>
      <c r="F584" s="1"/>
      <c r="G584" s="26"/>
      <c r="H584" s="18"/>
      <c r="I584" s="18"/>
      <c r="J584" s="30"/>
      <c r="K584" s="22" t="str">
        <f>+CONCATENATE(Tablo1710612131618202224[[#This Row],[DOSYA NO]],"_",Tablo1710612131618202224[[#This Row],[MÜŞTERİ ADI]],$P$10,"_",Tablo1710612131618202224[[#This Row],[İŞİN ADI]],"_",Tablo1710612131618202224[[#This Row],[İŞİN TÜRÜ]])</f>
        <v>___</v>
      </c>
    </row>
    <row r="585" spans="1:11" s="22" customFormat="1" ht="24.95" customHeight="1" x14ac:dyDescent="0.25">
      <c r="A585" s="21"/>
      <c r="F585" s="1"/>
      <c r="G585" s="26"/>
      <c r="H585" s="18"/>
      <c r="I585" s="18"/>
      <c r="J585" s="30"/>
      <c r="K585" s="22" t="str">
        <f>+CONCATENATE(Tablo1710612131618202224[[#This Row],[DOSYA NO]],"_",Tablo1710612131618202224[[#This Row],[MÜŞTERİ ADI]],$P$10,"_",Tablo1710612131618202224[[#This Row],[İŞİN ADI]],"_",Tablo1710612131618202224[[#This Row],[İŞİN TÜRÜ]])</f>
        <v>___</v>
      </c>
    </row>
    <row r="586" spans="1:11" s="22" customFormat="1" ht="24.95" customHeight="1" x14ac:dyDescent="0.25">
      <c r="A586" s="21"/>
      <c r="F586" s="1"/>
      <c r="G586" s="26"/>
      <c r="H586" s="18"/>
      <c r="I586" s="18"/>
      <c r="J586" s="30"/>
      <c r="K586" s="22" t="str">
        <f>+CONCATENATE(Tablo1710612131618202224[[#This Row],[DOSYA NO]],"_",Tablo1710612131618202224[[#This Row],[MÜŞTERİ ADI]],$P$10,"_",Tablo1710612131618202224[[#This Row],[İŞİN ADI]],"_",Tablo1710612131618202224[[#This Row],[İŞİN TÜRÜ]])</f>
        <v>___</v>
      </c>
    </row>
    <row r="587" spans="1:11" s="22" customFormat="1" ht="24.95" customHeight="1" x14ac:dyDescent="0.25">
      <c r="A587" s="21"/>
      <c r="F587" s="1"/>
      <c r="G587" s="26"/>
      <c r="H587" s="18"/>
      <c r="I587" s="18"/>
      <c r="J587" s="30"/>
      <c r="K587" s="22" t="str">
        <f>+CONCATENATE(Tablo1710612131618202224[[#This Row],[DOSYA NO]],"_",Tablo1710612131618202224[[#This Row],[MÜŞTERİ ADI]],$P$10,"_",Tablo1710612131618202224[[#This Row],[İŞİN ADI]],"_",Tablo1710612131618202224[[#This Row],[İŞİN TÜRÜ]])</f>
        <v>___</v>
      </c>
    </row>
    <row r="588" spans="1:11" s="22" customFormat="1" ht="24.95" customHeight="1" x14ac:dyDescent="0.25">
      <c r="A588" s="21"/>
      <c r="F588" s="1"/>
      <c r="G588" s="26"/>
      <c r="H588" s="18"/>
      <c r="I588" s="18"/>
      <c r="J588" s="30"/>
      <c r="K588" s="22" t="str">
        <f>+CONCATENATE(Tablo1710612131618202224[[#This Row],[DOSYA NO]],"_",Tablo1710612131618202224[[#This Row],[MÜŞTERİ ADI]],$P$10,"_",Tablo1710612131618202224[[#This Row],[İŞİN ADI]],"_",Tablo1710612131618202224[[#This Row],[İŞİN TÜRÜ]])</f>
        <v>___</v>
      </c>
    </row>
    <row r="589" spans="1:11" s="22" customFormat="1" ht="24.95" customHeight="1" x14ac:dyDescent="0.25">
      <c r="A589" s="21"/>
      <c r="F589" s="1"/>
      <c r="G589" s="26"/>
      <c r="H589" s="18"/>
      <c r="I589" s="18"/>
      <c r="J589" s="30"/>
      <c r="K589" s="22" t="str">
        <f>+CONCATENATE(Tablo1710612131618202224[[#This Row],[DOSYA NO]],"_",Tablo1710612131618202224[[#This Row],[MÜŞTERİ ADI]],$P$10,"_",Tablo1710612131618202224[[#This Row],[İŞİN ADI]],"_",Tablo1710612131618202224[[#This Row],[İŞİN TÜRÜ]])</f>
        <v>___</v>
      </c>
    </row>
    <row r="590" spans="1:11" s="22" customFormat="1" ht="24.95" customHeight="1" x14ac:dyDescent="0.25">
      <c r="A590" s="21"/>
      <c r="F590" s="1"/>
      <c r="G590" s="26"/>
      <c r="H590" s="18"/>
      <c r="I590" s="18"/>
      <c r="J590" s="30"/>
      <c r="K590" s="22" t="str">
        <f>+CONCATENATE(Tablo1710612131618202224[[#This Row],[DOSYA NO]],"_",Tablo1710612131618202224[[#This Row],[MÜŞTERİ ADI]],$P$10,"_",Tablo1710612131618202224[[#This Row],[İŞİN ADI]],"_",Tablo1710612131618202224[[#This Row],[İŞİN TÜRÜ]])</f>
        <v>___</v>
      </c>
    </row>
    <row r="591" spans="1:11" s="22" customFormat="1" ht="24.95" customHeight="1" x14ac:dyDescent="0.25">
      <c r="A591" s="21"/>
      <c r="F591" s="1"/>
      <c r="G591" s="26"/>
      <c r="H591" s="18"/>
      <c r="I591" s="18"/>
      <c r="J591" s="30"/>
      <c r="K591" s="22" t="str">
        <f>+CONCATENATE(Tablo1710612131618202224[[#This Row],[DOSYA NO]],"_",Tablo1710612131618202224[[#This Row],[MÜŞTERİ ADI]],$P$10,"_",Tablo1710612131618202224[[#This Row],[İŞİN ADI]],"_",Tablo1710612131618202224[[#This Row],[İŞİN TÜRÜ]])</f>
        <v>___</v>
      </c>
    </row>
    <row r="592" spans="1:11" s="22" customFormat="1" ht="24.95" customHeight="1" x14ac:dyDescent="0.25">
      <c r="A592" s="21"/>
      <c r="F592" s="1"/>
      <c r="G592" s="26"/>
      <c r="H592" s="18"/>
      <c r="I592" s="18"/>
      <c r="J592" s="30"/>
      <c r="K592" s="22" t="str">
        <f>+CONCATENATE(Tablo1710612131618202224[[#This Row],[DOSYA NO]],"_",Tablo1710612131618202224[[#This Row],[MÜŞTERİ ADI]],$P$10,"_",Tablo1710612131618202224[[#This Row],[İŞİN ADI]],"_",Tablo1710612131618202224[[#This Row],[İŞİN TÜRÜ]])</f>
        <v>___</v>
      </c>
    </row>
    <row r="593" spans="1:11" s="22" customFormat="1" ht="24.95" customHeight="1" x14ac:dyDescent="0.25">
      <c r="A593" s="21"/>
      <c r="F593" s="1"/>
      <c r="G593" s="26"/>
      <c r="H593" s="18"/>
      <c r="I593" s="18"/>
      <c r="J593" s="30"/>
      <c r="K593" s="22" t="str">
        <f>+CONCATENATE(Tablo1710612131618202224[[#This Row],[DOSYA NO]],"_",Tablo1710612131618202224[[#This Row],[MÜŞTERİ ADI]],$P$10,"_",Tablo1710612131618202224[[#This Row],[İŞİN ADI]],"_",Tablo1710612131618202224[[#This Row],[İŞİN TÜRÜ]])</f>
        <v>___</v>
      </c>
    </row>
    <row r="594" spans="1:11" s="22" customFormat="1" ht="24.95" customHeight="1" x14ac:dyDescent="0.25">
      <c r="A594" s="21"/>
      <c r="F594" s="1"/>
      <c r="G594" s="26"/>
      <c r="H594" s="18"/>
      <c r="I594" s="18"/>
      <c r="J594" s="30"/>
      <c r="K594" s="22" t="str">
        <f>+CONCATENATE(Tablo1710612131618202224[[#This Row],[DOSYA NO]],"_",Tablo1710612131618202224[[#This Row],[MÜŞTERİ ADI]],$P$10,"_",Tablo1710612131618202224[[#This Row],[İŞİN ADI]],"_",Tablo1710612131618202224[[#This Row],[İŞİN TÜRÜ]])</f>
        <v>___</v>
      </c>
    </row>
    <row r="595" spans="1:11" s="22" customFormat="1" ht="24.95" customHeight="1" x14ac:dyDescent="0.25">
      <c r="A595" s="21"/>
      <c r="F595" s="1"/>
      <c r="G595" s="26"/>
      <c r="H595" s="18"/>
      <c r="I595" s="18"/>
      <c r="J595" s="30"/>
      <c r="K595" s="22" t="str">
        <f>+CONCATENATE(Tablo1710612131618202224[[#This Row],[DOSYA NO]],"_",Tablo1710612131618202224[[#This Row],[MÜŞTERİ ADI]],$P$10,"_",Tablo1710612131618202224[[#This Row],[İŞİN ADI]],"_",Tablo1710612131618202224[[#This Row],[İŞİN TÜRÜ]])</f>
        <v>___</v>
      </c>
    </row>
    <row r="596" spans="1:11" s="22" customFormat="1" ht="24.95" customHeight="1" x14ac:dyDescent="0.25">
      <c r="A596" s="21"/>
      <c r="F596" s="1"/>
      <c r="G596" s="26"/>
      <c r="H596" s="18"/>
      <c r="I596" s="18"/>
      <c r="J596" s="30"/>
      <c r="K596" s="22" t="str">
        <f>+CONCATENATE(Tablo1710612131618202224[[#This Row],[DOSYA NO]],"_",Tablo1710612131618202224[[#This Row],[MÜŞTERİ ADI]],$P$10,"_",Tablo1710612131618202224[[#This Row],[İŞİN ADI]],"_",Tablo1710612131618202224[[#This Row],[İŞİN TÜRÜ]])</f>
        <v>___</v>
      </c>
    </row>
    <row r="597" spans="1:11" s="22" customFormat="1" ht="24.95" customHeight="1" x14ac:dyDescent="0.25">
      <c r="A597" s="21"/>
      <c r="F597" s="1"/>
      <c r="G597" s="26"/>
      <c r="H597" s="18"/>
      <c r="I597" s="18"/>
      <c r="J597" s="30"/>
      <c r="K597" s="22" t="str">
        <f>+CONCATENATE(Tablo1710612131618202224[[#This Row],[DOSYA NO]],"_",Tablo1710612131618202224[[#This Row],[MÜŞTERİ ADI]],$P$10,"_",Tablo1710612131618202224[[#This Row],[İŞİN ADI]],"_",Tablo1710612131618202224[[#This Row],[İŞİN TÜRÜ]])</f>
        <v>___</v>
      </c>
    </row>
    <row r="598" spans="1:11" s="22" customFormat="1" ht="24.95" customHeight="1" x14ac:dyDescent="0.25">
      <c r="A598" s="21"/>
      <c r="F598" s="1"/>
      <c r="G598" s="26"/>
      <c r="H598" s="18"/>
      <c r="I598" s="18"/>
      <c r="J598" s="30"/>
      <c r="K598" s="22" t="str">
        <f>+CONCATENATE(Tablo1710612131618202224[[#This Row],[DOSYA NO]],"_",Tablo1710612131618202224[[#This Row],[MÜŞTERİ ADI]],$P$10,"_",Tablo1710612131618202224[[#This Row],[İŞİN ADI]],"_",Tablo1710612131618202224[[#This Row],[İŞİN TÜRÜ]])</f>
        <v>___</v>
      </c>
    </row>
    <row r="599" spans="1:11" s="22" customFormat="1" ht="24.95" customHeight="1" x14ac:dyDescent="0.25">
      <c r="A599" s="21"/>
      <c r="F599" s="1"/>
      <c r="G599" s="26"/>
      <c r="H599" s="18"/>
      <c r="I599" s="18"/>
      <c r="J599" s="30"/>
      <c r="K599" s="22" t="str">
        <f>+CONCATENATE(Tablo1710612131618202224[[#This Row],[DOSYA NO]],"_",Tablo1710612131618202224[[#This Row],[MÜŞTERİ ADI]],$P$10,"_",Tablo1710612131618202224[[#This Row],[İŞİN ADI]],"_",Tablo1710612131618202224[[#This Row],[İŞİN TÜRÜ]])</f>
        <v>___</v>
      </c>
    </row>
    <row r="600" spans="1:11" s="22" customFormat="1" ht="24.95" customHeight="1" x14ac:dyDescent="0.25">
      <c r="A600" s="21"/>
      <c r="F600" s="1"/>
      <c r="G600" s="26"/>
      <c r="H600" s="18"/>
      <c r="I600" s="18"/>
      <c r="J600" s="30"/>
      <c r="K600" s="22" t="str">
        <f>+CONCATENATE(Tablo1710612131618202224[[#This Row],[DOSYA NO]],"_",Tablo1710612131618202224[[#This Row],[MÜŞTERİ ADI]],$P$10,"_",Tablo1710612131618202224[[#This Row],[İŞİN ADI]],"_",Tablo1710612131618202224[[#This Row],[İŞİN TÜRÜ]])</f>
        <v>___</v>
      </c>
    </row>
    <row r="601" spans="1:11" s="22" customFormat="1" ht="24.95" customHeight="1" x14ac:dyDescent="0.25">
      <c r="A601" s="21"/>
      <c r="F601" s="1"/>
      <c r="G601" s="26"/>
      <c r="H601" s="18"/>
      <c r="I601" s="18"/>
      <c r="J601" s="30"/>
      <c r="K601" s="22" t="str">
        <f>+CONCATENATE(Tablo1710612131618202224[[#This Row],[DOSYA NO]],"_",Tablo1710612131618202224[[#This Row],[MÜŞTERİ ADI]],$P$10,"_",Tablo1710612131618202224[[#This Row],[İŞİN ADI]],"_",Tablo1710612131618202224[[#This Row],[İŞİN TÜRÜ]])</f>
        <v>___</v>
      </c>
    </row>
    <row r="602" spans="1:11" s="22" customFormat="1" ht="24.95" customHeight="1" x14ac:dyDescent="0.25">
      <c r="A602" s="21"/>
      <c r="F602" s="1"/>
      <c r="G602" s="26"/>
      <c r="H602" s="18"/>
      <c r="I602" s="18"/>
      <c r="J602" s="30"/>
      <c r="K602" s="22" t="str">
        <f>+CONCATENATE(Tablo1710612131618202224[[#This Row],[DOSYA NO]],"_",Tablo1710612131618202224[[#This Row],[MÜŞTERİ ADI]],$P$10,"_",Tablo1710612131618202224[[#This Row],[İŞİN ADI]],"_",Tablo1710612131618202224[[#This Row],[İŞİN TÜRÜ]])</f>
        <v>___</v>
      </c>
    </row>
    <row r="603" spans="1:11" s="22" customFormat="1" ht="24.95" customHeight="1" x14ac:dyDescent="0.25">
      <c r="A603" s="21"/>
      <c r="F603" s="1"/>
      <c r="G603" s="26"/>
      <c r="H603" s="18"/>
      <c r="I603" s="18"/>
      <c r="J603" s="30"/>
      <c r="K603" s="22" t="str">
        <f>+CONCATENATE(Tablo1710612131618202224[[#This Row],[DOSYA NO]],"_",Tablo1710612131618202224[[#This Row],[MÜŞTERİ ADI]],$P$10,"_",Tablo1710612131618202224[[#This Row],[İŞİN ADI]],"_",Tablo1710612131618202224[[#This Row],[İŞİN TÜRÜ]])</f>
        <v>___</v>
      </c>
    </row>
    <row r="604" spans="1:11" s="22" customFormat="1" ht="24.95" customHeight="1" x14ac:dyDescent="0.25">
      <c r="A604" s="21"/>
      <c r="F604" s="1"/>
      <c r="G604" s="26"/>
      <c r="H604" s="18"/>
      <c r="I604" s="18"/>
      <c r="J604" s="30"/>
      <c r="K604" s="22" t="str">
        <f>+CONCATENATE(Tablo1710612131618202224[[#This Row],[DOSYA NO]],"_",Tablo1710612131618202224[[#This Row],[MÜŞTERİ ADI]],$P$10,"_",Tablo1710612131618202224[[#This Row],[İŞİN ADI]],"_",Tablo1710612131618202224[[#This Row],[İŞİN TÜRÜ]])</f>
        <v>___</v>
      </c>
    </row>
    <row r="605" spans="1:11" s="22" customFormat="1" ht="24.95" customHeight="1" x14ac:dyDescent="0.25">
      <c r="A605" s="21"/>
      <c r="F605" s="1"/>
      <c r="G605" s="26"/>
      <c r="H605" s="18"/>
      <c r="I605" s="18"/>
      <c r="J605" s="30"/>
      <c r="K605" s="22" t="str">
        <f>+CONCATENATE(Tablo1710612131618202224[[#This Row],[DOSYA NO]],"_",Tablo1710612131618202224[[#This Row],[MÜŞTERİ ADI]],$P$10,"_",Tablo1710612131618202224[[#This Row],[İŞİN ADI]],"_",Tablo1710612131618202224[[#This Row],[İŞİN TÜRÜ]])</f>
        <v>___</v>
      </c>
    </row>
    <row r="606" spans="1:11" s="22" customFormat="1" ht="24.95" customHeight="1" x14ac:dyDescent="0.25">
      <c r="A606" s="21"/>
      <c r="F606" s="1"/>
      <c r="G606" s="26"/>
      <c r="H606" s="18"/>
      <c r="I606" s="18"/>
      <c r="J606" s="30"/>
      <c r="K606" s="22" t="str">
        <f>+CONCATENATE(Tablo1710612131618202224[[#This Row],[DOSYA NO]],"_",Tablo1710612131618202224[[#This Row],[MÜŞTERİ ADI]],$P$10,"_",Tablo1710612131618202224[[#This Row],[İŞİN ADI]],"_",Tablo1710612131618202224[[#This Row],[İŞİN TÜRÜ]])</f>
        <v>___</v>
      </c>
    </row>
    <row r="607" spans="1:11" s="22" customFormat="1" ht="24.95" customHeight="1" x14ac:dyDescent="0.25">
      <c r="A607" s="21"/>
      <c r="F607" s="1"/>
      <c r="G607" s="26"/>
      <c r="H607" s="18"/>
      <c r="I607" s="18"/>
      <c r="J607" s="30"/>
      <c r="K607" s="22" t="str">
        <f>+CONCATENATE(Tablo1710612131618202224[[#This Row],[DOSYA NO]],"_",Tablo1710612131618202224[[#This Row],[MÜŞTERİ ADI]],$P$10,"_",Tablo1710612131618202224[[#This Row],[İŞİN ADI]],"_",Tablo1710612131618202224[[#This Row],[İŞİN TÜRÜ]])</f>
        <v>___</v>
      </c>
    </row>
    <row r="608" spans="1:11" s="22" customFormat="1" ht="24.95" customHeight="1" x14ac:dyDescent="0.25">
      <c r="A608" s="21"/>
      <c r="F608" s="1"/>
      <c r="G608" s="26"/>
      <c r="H608" s="18"/>
      <c r="I608" s="18"/>
      <c r="J608" s="30"/>
      <c r="K608" s="22" t="str">
        <f>+CONCATENATE(Tablo1710612131618202224[[#This Row],[DOSYA NO]],"_",Tablo1710612131618202224[[#This Row],[MÜŞTERİ ADI]],$P$10,"_",Tablo1710612131618202224[[#This Row],[İŞİN ADI]],"_",Tablo1710612131618202224[[#This Row],[İŞİN TÜRÜ]])</f>
        <v>___</v>
      </c>
    </row>
    <row r="609" spans="1:11" s="22" customFormat="1" ht="24.95" customHeight="1" x14ac:dyDescent="0.25">
      <c r="A609" s="21"/>
      <c r="F609" s="1"/>
      <c r="G609" s="26"/>
      <c r="H609" s="18"/>
      <c r="I609" s="18"/>
      <c r="J609" s="30"/>
      <c r="K609" s="22" t="str">
        <f>+CONCATENATE(Tablo1710612131618202224[[#This Row],[DOSYA NO]],"_",Tablo1710612131618202224[[#This Row],[MÜŞTERİ ADI]],$P$10,"_",Tablo1710612131618202224[[#This Row],[İŞİN ADI]],"_",Tablo1710612131618202224[[#This Row],[İŞİN TÜRÜ]])</f>
        <v>___</v>
      </c>
    </row>
    <row r="610" spans="1:11" s="22" customFormat="1" ht="24.95" customHeight="1" x14ac:dyDescent="0.25">
      <c r="A610" s="21"/>
      <c r="F610" s="1"/>
      <c r="G610" s="26"/>
      <c r="H610" s="18"/>
      <c r="I610" s="18"/>
      <c r="J610" s="30"/>
      <c r="K610" s="22" t="str">
        <f>+CONCATENATE(Tablo1710612131618202224[[#This Row],[DOSYA NO]],"_",Tablo1710612131618202224[[#This Row],[MÜŞTERİ ADI]],$P$10,"_",Tablo1710612131618202224[[#This Row],[İŞİN ADI]],"_",Tablo1710612131618202224[[#This Row],[İŞİN TÜRÜ]])</f>
        <v>___</v>
      </c>
    </row>
    <row r="611" spans="1:11" s="22" customFormat="1" ht="24.95" customHeight="1" x14ac:dyDescent="0.25">
      <c r="A611" s="21"/>
      <c r="F611" s="1"/>
      <c r="G611" s="26"/>
      <c r="H611" s="18"/>
      <c r="I611" s="18"/>
      <c r="J611" s="30"/>
      <c r="K611" s="22" t="str">
        <f>+CONCATENATE(Tablo1710612131618202224[[#This Row],[DOSYA NO]],"_",Tablo1710612131618202224[[#This Row],[MÜŞTERİ ADI]],$P$10,"_",Tablo1710612131618202224[[#This Row],[İŞİN ADI]],"_",Tablo1710612131618202224[[#This Row],[İŞİN TÜRÜ]])</f>
        <v>___</v>
      </c>
    </row>
    <row r="612" spans="1:11" s="22" customFormat="1" ht="24.95" customHeight="1" x14ac:dyDescent="0.25">
      <c r="A612" s="21"/>
      <c r="F612" s="1"/>
      <c r="G612" s="26"/>
      <c r="H612" s="18"/>
      <c r="I612" s="18"/>
      <c r="J612" s="30"/>
      <c r="K612" s="22" t="str">
        <f>+CONCATENATE(Tablo1710612131618202224[[#This Row],[DOSYA NO]],"_",Tablo1710612131618202224[[#This Row],[MÜŞTERİ ADI]],$P$10,"_",Tablo1710612131618202224[[#This Row],[İŞİN ADI]],"_",Tablo1710612131618202224[[#This Row],[İŞİN TÜRÜ]])</f>
        <v>___</v>
      </c>
    </row>
    <row r="613" spans="1:11" s="22" customFormat="1" ht="24.95" customHeight="1" x14ac:dyDescent="0.25">
      <c r="A613" s="21"/>
      <c r="F613" s="1"/>
      <c r="G613" s="26"/>
      <c r="H613" s="18"/>
      <c r="I613" s="18"/>
      <c r="J613" s="30"/>
      <c r="K613" s="22" t="str">
        <f>+CONCATENATE(Tablo1710612131618202224[[#This Row],[DOSYA NO]],"_",Tablo1710612131618202224[[#This Row],[MÜŞTERİ ADI]],$P$10,"_",Tablo1710612131618202224[[#This Row],[İŞİN ADI]],"_",Tablo1710612131618202224[[#This Row],[İŞİN TÜRÜ]])</f>
        <v>___</v>
      </c>
    </row>
    <row r="614" spans="1:11" s="22" customFormat="1" ht="24.95" customHeight="1" x14ac:dyDescent="0.25">
      <c r="A614" s="21"/>
      <c r="F614" s="1"/>
      <c r="G614" s="26"/>
      <c r="H614" s="18"/>
      <c r="I614" s="18"/>
      <c r="J614" s="30"/>
      <c r="K614" s="22" t="str">
        <f>+CONCATENATE(Tablo1710612131618202224[[#This Row],[DOSYA NO]],"_",Tablo1710612131618202224[[#This Row],[MÜŞTERİ ADI]],$P$10,"_",Tablo1710612131618202224[[#This Row],[İŞİN ADI]],"_",Tablo1710612131618202224[[#This Row],[İŞİN TÜRÜ]])</f>
        <v>___</v>
      </c>
    </row>
    <row r="615" spans="1:11" s="22" customFormat="1" ht="24.95" customHeight="1" x14ac:dyDescent="0.25">
      <c r="A615" s="21"/>
      <c r="F615" s="1"/>
      <c r="G615" s="26"/>
      <c r="H615" s="18"/>
      <c r="I615" s="18"/>
      <c r="J615" s="30"/>
      <c r="K615" s="22" t="str">
        <f>+CONCATENATE(Tablo1710612131618202224[[#This Row],[DOSYA NO]],"_",Tablo1710612131618202224[[#This Row],[MÜŞTERİ ADI]],$P$10,"_",Tablo1710612131618202224[[#This Row],[İŞİN ADI]],"_",Tablo1710612131618202224[[#This Row],[İŞİN TÜRÜ]])</f>
        <v>___</v>
      </c>
    </row>
    <row r="616" spans="1:11" s="22" customFormat="1" ht="24.95" customHeight="1" x14ac:dyDescent="0.25">
      <c r="A616" s="21"/>
      <c r="F616" s="1"/>
      <c r="G616" s="26"/>
      <c r="H616" s="18"/>
      <c r="I616" s="18"/>
      <c r="J616" s="30"/>
      <c r="K616" s="22" t="str">
        <f>+CONCATENATE(Tablo1710612131618202224[[#This Row],[DOSYA NO]],"_",Tablo1710612131618202224[[#This Row],[MÜŞTERİ ADI]],$P$10,"_",Tablo1710612131618202224[[#This Row],[İŞİN ADI]],"_",Tablo1710612131618202224[[#This Row],[İŞİN TÜRÜ]])</f>
        <v>___</v>
      </c>
    </row>
    <row r="617" spans="1:11" s="22" customFormat="1" ht="24.95" customHeight="1" x14ac:dyDescent="0.25">
      <c r="A617" s="21"/>
      <c r="F617" s="1"/>
      <c r="G617" s="26"/>
      <c r="H617" s="18"/>
      <c r="I617" s="18"/>
      <c r="J617" s="30"/>
      <c r="K617" s="22" t="str">
        <f>+CONCATENATE(Tablo1710612131618202224[[#This Row],[DOSYA NO]],"_",Tablo1710612131618202224[[#This Row],[MÜŞTERİ ADI]],$P$10,"_",Tablo1710612131618202224[[#This Row],[İŞİN ADI]],"_",Tablo1710612131618202224[[#This Row],[İŞİN TÜRÜ]])</f>
        <v>___</v>
      </c>
    </row>
    <row r="618" spans="1:11" s="22" customFormat="1" ht="24.95" customHeight="1" x14ac:dyDescent="0.25">
      <c r="A618" s="21"/>
      <c r="F618" s="1"/>
      <c r="G618" s="26"/>
      <c r="H618" s="18"/>
      <c r="I618" s="18"/>
      <c r="J618" s="30"/>
      <c r="K618" s="22" t="str">
        <f>+CONCATENATE(Tablo1710612131618202224[[#This Row],[DOSYA NO]],"_",Tablo1710612131618202224[[#This Row],[MÜŞTERİ ADI]],$P$10,"_",Tablo1710612131618202224[[#This Row],[İŞİN ADI]],"_",Tablo1710612131618202224[[#This Row],[İŞİN TÜRÜ]])</f>
        <v>___</v>
      </c>
    </row>
    <row r="619" spans="1:11" s="22" customFormat="1" ht="24.95" customHeight="1" x14ac:dyDescent="0.25">
      <c r="A619" s="21"/>
      <c r="F619" s="1"/>
      <c r="G619" s="26"/>
      <c r="H619" s="18"/>
      <c r="I619" s="18"/>
      <c r="J619" s="30"/>
      <c r="K619" s="22" t="str">
        <f>+CONCATENATE(Tablo1710612131618202224[[#This Row],[DOSYA NO]],"_",Tablo1710612131618202224[[#This Row],[MÜŞTERİ ADI]],$P$10,"_",Tablo1710612131618202224[[#This Row],[İŞİN ADI]],"_",Tablo1710612131618202224[[#This Row],[İŞİN TÜRÜ]])</f>
        <v>___</v>
      </c>
    </row>
    <row r="620" spans="1:11" s="22" customFormat="1" ht="24.95" customHeight="1" x14ac:dyDescent="0.25">
      <c r="A620" s="21"/>
      <c r="F620" s="1"/>
      <c r="G620" s="26"/>
      <c r="H620" s="18"/>
      <c r="I620" s="18"/>
      <c r="J620" s="30"/>
      <c r="K620" s="22" t="str">
        <f>+CONCATENATE(Tablo1710612131618202224[[#This Row],[DOSYA NO]],"_",Tablo1710612131618202224[[#This Row],[MÜŞTERİ ADI]],$P$10,"_",Tablo1710612131618202224[[#This Row],[İŞİN ADI]],"_",Tablo1710612131618202224[[#This Row],[İŞİN TÜRÜ]])</f>
        <v>___</v>
      </c>
    </row>
    <row r="621" spans="1:11" s="22" customFormat="1" ht="24.95" customHeight="1" x14ac:dyDescent="0.25">
      <c r="A621" s="21"/>
      <c r="F621" s="1"/>
      <c r="G621" s="26"/>
      <c r="H621" s="18"/>
      <c r="I621" s="18"/>
      <c r="J621" s="30"/>
      <c r="K621" s="22" t="str">
        <f>+CONCATENATE(Tablo1710612131618202224[[#This Row],[DOSYA NO]],"_",Tablo1710612131618202224[[#This Row],[MÜŞTERİ ADI]],$P$10,"_",Tablo1710612131618202224[[#This Row],[İŞİN ADI]],"_",Tablo1710612131618202224[[#This Row],[İŞİN TÜRÜ]])</f>
        <v>___</v>
      </c>
    </row>
    <row r="622" spans="1:11" s="22" customFormat="1" ht="24.95" customHeight="1" x14ac:dyDescent="0.25">
      <c r="A622" s="21"/>
      <c r="F622" s="1"/>
      <c r="G622" s="26"/>
      <c r="H622" s="18"/>
      <c r="I622" s="18"/>
      <c r="J622" s="30"/>
      <c r="K622" s="22" t="str">
        <f>+CONCATENATE(Tablo1710612131618202224[[#This Row],[DOSYA NO]],"_",Tablo1710612131618202224[[#This Row],[MÜŞTERİ ADI]],$P$10,"_",Tablo1710612131618202224[[#This Row],[İŞİN ADI]],"_",Tablo1710612131618202224[[#This Row],[İŞİN TÜRÜ]])</f>
        <v>___</v>
      </c>
    </row>
    <row r="623" spans="1:11" s="22" customFormat="1" ht="24.95" customHeight="1" x14ac:dyDescent="0.25">
      <c r="A623" s="21"/>
      <c r="F623" s="1"/>
      <c r="G623" s="26"/>
      <c r="H623" s="18"/>
      <c r="I623" s="18"/>
      <c r="J623" s="30"/>
      <c r="K623" s="22" t="str">
        <f>+CONCATENATE(Tablo1710612131618202224[[#This Row],[DOSYA NO]],"_",Tablo1710612131618202224[[#This Row],[MÜŞTERİ ADI]],$P$10,"_",Tablo1710612131618202224[[#This Row],[İŞİN ADI]],"_",Tablo1710612131618202224[[#This Row],[İŞİN TÜRÜ]])</f>
        <v>___</v>
      </c>
    </row>
    <row r="624" spans="1:11" s="22" customFormat="1" ht="24.95" customHeight="1" x14ac:dyDescent="0.25">
      <c r="A624" s="21"/>
      <c r="F624" s="1"/>
      <c r="G624" s="26"/>
      <c r="H624" s="18"/>
      <c r="I624" s="18"/>
      <c r="J624" s="30"/>
      <c r="K624" s="22" t="str">
        <f>+CONCATENATE(Tablo1710612131618202224[[#This Row],[DOSYA NO]],"_",Tablo1710612131618202224[[#This Row],[MÜŞTERİ ADI]],$P$10,"_",Tablo1710612131618202224[[#This Row],[İŞİN ADI]],"_",Tablo1710612131618202224[[#This Row],[İŞİN TÜRÜ]])</f>
        <v>___</v>
      </c>
    </row>
    <row r="625" spans="1:11" s="22" customFormat="1" ht="24.95" customHeight="1" x14ac:dyDescent="0.25">
      <c r="A625" s="21"/>
      <c r="F625" s="1"/>
      <c r="G625" s="26"/>
      <c r="H625" s="18"/>
      <c r="I625" s="18"/>
      <c r="J625" s="30"/>
      <c r="K625" s="22" t="str">
        <f>+CONCATENATE(Tablo1710612131618202224[[#This Row],[DOSYA NO]],"_",Tablo1710612131618202224[[#This Row],[MÜŞTERİ ADI]],$P$10,"_",Tablo1710612131618202224[[#This Row],[İŞİN ADI]],"_",Tablo1710612131618202224[[#This Row],[İŞİN TÜRÜ]])</f>
        <v>___</v>
      </c>
    </row>
    <row r="626" spans="1:11" s="22" customFormat="1" ht="24.95" customHeight="1" x14ac:dyDescent="0.25">
      <c r="A626" s="21"/>
      <c r="F626" s="1"/>
      <c r="G626" s="26"/>
      <c r="H626" s="18"/>
      <c r="I626" s="18"/>
      <c r="J626" s="30"/>
      <c r="K626" s="22" t="str">
        <f>+CONCATENATE(Tablo1710612131618202224[[#This Row],[DOSYA NO]],"_",Tablo1710612131618202224[[#This Row],[MÜŞTERİ ADI]],$P$10,"_",Tablo1710612131618202224[[#This Row],[İŞİN ADI]],"_",Tablo1710612131618202224[[#This Row],[İŞİN TÜRÜ]])</f>
        <v>___</v>
      </c>
    </row>
    <row r="627" spans="1:11" s="22" customFormat="1" ht="24.95" customHeight="1" x14ac:dyDescent="0.25">
      <c r="A627" s="21"/>
      <c r="F627" s="1"/>
      <c r="G627" s="26"/>
      <c r="H627" s="18"/>
      <c r="I627" s="18"/>
      <c r="J627" s="30"/>
      <c r="K627" s="22" t="str">
        <f>+CONCATENATE(Tablo1710612131618202224[[#This Row],[DOSYA NO]],"_",Tablo1710612131618202224[[#This Row],[MÜŞTERİ ADI]],$P$10,"_",Tablo1710612131618202224[[#This Row],[İŞİN ADI]],"_",Tablo1710612131618202224[[#This Row],[İŞİN TÜRÜ]])</f>
        <v>___</v>
      </c>
    </row>
    <row r="628" spans="1:11" s="22" customFormat="1" ht="24.95" customHeight="1" x14ac:dyDescent="0.25">
      <c r="A628" s="21"/>
      <c r="F628" s="1"/>
      <c r="G628" s="26"/>
      <c r="H628" s="18"/>
      <c r="I628" s="18"/>
      <c r="J628" s="30"/>
      <c r="K628" s="22" t="str">
        <f>+CONCATENATE(Tablo1710612131618202224[[#This Row],[DOSYA NO]],"_",Tablo1710612131618202224[[#This Row],[MÜŞTERİ ADI]],$P$10,"_",Tablo1710612131618202224[[#This Row],[İŞİN ADI]],"_",Tablo1710612131618202224[[#This Row],[İŞİN TÜRÜ]])</f>
        <v>___</v>
      </c>
    </row>
    <row r="629" spans="1:11" s="22" customFormat="1" ht="24.95" customHeight="1" x14ac:dyDescent="0.25">
      <c r="A629" s="21"/>
      <c r="F629" s="1"/>
      <c r="G629" s="26"/>
      <c r="H629" s="18"/>
      <c r="I629" s="18"/>
      <c r="J629" s="30"/>
      <c r="K629" s="22" t="str">
        <f>+CONCATENATE(Tablo1710612131618202224[[#This Row],[DOSYA NO]],"_",Tablo1710612131618202224[[#This Row],[MÜŞTERİ ADI]],$P$10,"_",Tablo1710612131618202224[[#This Row],[İŞİN ADI]],"_",Tablo1710612131618202224[[#This Row],[İŞİN TÜRÜ]])</f>
        <v>___</v>
      </c>
    </row>
    <row r="630" spans="1:11" s="22" customFormat="1" ht="24.95" customHeight="1" x14ac:dyDescent="0.25">
      <c r="A630" s="21"/>
      <c r="F630" s="1"/>
      <c r="G630" s="26"/>
      <c r="H630" s="18"/>
      <c r="I630" s="18"/>
      <c r="J630" s="31"/>
      <c r="K630" s="22" t="str">
        <f>+CONCATENATE(Tablo1710612131618202224[[#This Row],[DOSYA NO]],"_",Tablo1710612131618202224[[#This Row],[MÜŞTERİ ADI]],$P$10,"_",Tablo1710612131618202224[[#This Row],[İŞİN ADI]],"_",Tablo1710612131618202224[[#This Row],[İŞİN TÜRÜ]])</f>
        <v>___</v>
      </c>
    </row>
    <row r="631" spans="1:11" s="22" customFormat="1" ht="24.95" customHeight="1" x14ac:dyDescent="0.25">
      <c r="A631" s="21"/>
      <c r="F631" s="1"/>
      <c r="G631" s="26"/>
      <c r="H631" s="18"/>
      <c r="I631" s="18"/>
      <c r="J631" s="30"/>
      <c r="K631" s="22" t="str">
        <f>+CONCATENATE(Tablo1710612131618202224[[#This Row],[DOSYA NO]],"_",Tablo1710612131618202224[[#This Row],[MÜŞTERİ ADI]],$P$10,"_",Tablo1710612131618202224[[#This Row],[İŞİN ADI]],"_",Tablo1710612131618202224[[#This Row],[İŞİN TÜRÜ]])</f>
        <v>___</v>
      </c>
    </row>
    <row r="632" spans="1:11" s="22" customFormat="1" ht="24.95" customHeight="1" x14ac:dyDescent="0.25">
      <c r="A632" s="21"/>
      <c r="F632" s="1"/>
      <c r="G632" s="26"/>
      <c r="H632" s="18"/>
      <c r="I632" s="18"/>
      <c r="J632" s="30"/>
      <c r="K632" s="22" t="str">
        <f>+CONCATENATE(Tablo1710612131618202224[[#This Row],[DOSYA NO]],"_",Tablo1710612131618202224[[#This Row],[MÜŞTERİ ADI]],$P$10,"_",Tablo1710612131618202224[[#This Row],[İŞİN ADI]],"_",Tablo1710612131618202224[[#This Row],[İŞİN TÜRÜ]])</f>
        <v>___</v>
      </c>
    </row>
    <row r="633" spans="1:11" s="22" customFormat="1" ht="24.95" customHeight="1" x14ac:dyDescent="0.25">
      <c r="A633" s="21"/>
      <c r="F633" s="1"/>
      <c r="G633" s="26"/>
      <c r="H633" s="18"/>
      <c r="I633" s="18"/>
      <c r="J633" s="30"/>
      <c r="K633" s="22" t="str">
        <f>+CONCATENATE(Tablo1710612131618202224[[#This Row],[DOSYA NO]],"_",Tablo1710612131618202224[[#This Row],[MÜŞTERİ ADI]],$P$10,"_",Tablo1710612131618202224[[#This Row],[İŞİN ADI]],"_",Tablo1710612131618202224[[#This Row],[İŞİN TÜRÜ]])</f>
        <v>___</v>
      </c>
    </row>
    <row r="634" spans="1:11" s="22" customFormat="1" ht="24.95" customHeight="1" x14ac:dyDescent="0.25">
      <c r="A634" s="21"/>
      <c r="F634" s="1"/>
      <c r="G634" s="26"/>
      <c r="H634" s="18"/>
      <c r="I634" s="18"/>
      <c r="J634" s="30"/>
      <c r="K634" s="22" t="str">
        <f>+CONCATENATE(Tablo1710612131618202224[[#This Row],[DOSYA NO]],"_",Tablo1710612131618202224[[#This Row],[MÜŞTERİ ADI]],$P$10,"_",Tablo1710612131618202224[[#This Row],[İŞİN ADI]],"_",Tablo1710612131618202224[[#This Row],[İŞİN TÜRÜ]])</f>
        <v>___</v>
      </c>
    </row>
    <row r="635" spans="1:11" s="22" customFormat="1" ht="24.95" customHeight="1" x14ac:dyDescent="0.25">
      <c r="A635" s="21"/>
      <c r="F635" s="1"/>
      <c r="G635" s="26"/>
      <c r="H635" s="18"/>
      <c r="I635" s="18"/>
      <c r="J635" s="30"/>
      <c r="K635" s="22" t="str">
        <f>+CONCATENATE(Tablo1710612131618202224[[#This Row],[DOSYA NO]],"_",Tablo1710612131618202224[[#This Row],[MÜŞTERİ ADI]],$P$10,"_",Tablo1710612131618202224[[#This Row],[İŞİN ADI]],"_",Tablo1710612131618202224[[#This Row],[İŞİN TÜRÜ]])</f>
        <v>___</v>
      </c>
    </row>
    <row r="636" spans="1:11" s="22" customFormat="1" ht="24.95" customHeight="1" x14ac:dyDescent="0.25">
      <c r="A636" s="21"/>
      <c r="F636" s="1"/>
      <c r="G636" s="26"/>
      <c r="H636" s="18"/>
      <c r="I636" s="18"/>
      <c r="J636" s="30"/>
      <c r="K636" s="22" t="str">
        <f>+CONCATENATE(Tablo1710612131618202224[[#This Row],[DOSYA NO]],"_",Tablo1710612131618202224[[#This Row],[MÜŞTERİ ADI]],$P$10,"_",Tablo1710612131618202224[[#This Row],[İŞİN ADI]],"_",Tablo1710612131618202224[[#This Row],[İŞİN TÜRÜ]])</f>
        <v>___</v>
      </c>
    </row>
    <row r="637" spans="1:11" s="22" customFormat="1" ht="24.95" customHeight="1" x14ac:dyDescent="0.25">
      <c r="A637" s="21"/>
      <c r="F637" s="1"/>
      <c r="G637" s="26"/>
      <c r="H637" s="18"/>
      <c r="I637" s="18"/>
      <c r="J637" s="30"/>
      <c r="K637" s="22" t="str">
        <f>+CONCATENATE(Tablo1710612131618202224[[#This Row],[DOSYA NO]],"_",Tablo1710612131618202224[[#This Row],[MÜŞTERİ ADI]],$P$10,"_",Tablo1710612131618202224[[#This Row],[İŞİN ADI]],"_",Tablo1710612131618202224[[#This Row],[İŞİN TÜRÜ]])</f>
        <v>___</v>
      </c>
    </row>
    <row r="638" spans="1:11" s="22" customFormat="1" ht="24.95" customHeight="1" x14ac:dyDescent="0.25">
      <c r="A638" s="21"/>
      <c r="F638" s="1"/>
      <c r="G638" s="26"/>
      <c r="H638" s="18"/>
      <c r="I638" s="18"/>
      <c r="J638" s="30"/>
      <c r="K638" s="22" t="str">
        <f>+CONCATENATE(Tablo1710612131618202224[[#This Row],[DOSYA NO]],"_",Tablo1710612131618202224[[#This Row],[MÜŞTERİ ADI]],$P$10,"_",Tablo1710612131618202224[[#This Row],[İŞİN ADI]],"_",Tablo1710612131618202224[[#This Row],[İŞİN TÜRÜ]])</f>
        <v>___</v>
      </c>
    </row>
    <row r="639" spans="1:11" s="22" customFormat="1" ht="24.95" customHeight="1" x14ac:dyDescent="0.25">
      <c r="A639" s="21"/>
      <c r="F639" s="1"/>
      <c r="G639" s="26"/>
      <c r="H639" s="18"/>
      <c r="I639" s="18"/>
      <c r="J639" s="30"/>
      <c r="K639" s="22" t="str">
        <f>+CONCATENATE(Tablo1710612131618202224[[#This Row],[DOSYA NO]],"_",Tablo1710612131618202224[[#This Row],[MÜŞTERİ ADI]],$P$10,"_",Tablo1710612131618202224[[#This Row],[İŞİN ADI]],"_",Tablo1710612131618202224[[#This Row],[İŞİN TÜRÜ]])</f>
        <v>___</v>
      </c>
    </row>
    <row r="640" spans="1:11" s="22" customFormat="1" ht="24.95" customHeight="1" x14ac:dyDescent="0.25">
      <c r="A640" s="21"/>
      <c r="F640" s="1"/>
      <c r="G640" s="26"/>
      <c r="H640" s="18"/>
      <c r="I640" s="18"/>
      <c r="J640" s="30"/>
      <c r="K640" s="22" t="str">
        <f>+CONCATENATE(Tablo1710612131618202224[[#This Row],[DOSYA NO]],"_",Tablo1710612131618202224[[#This Row],[MÜŞTERİ ADI]],$P$10,"_",Tablo1710612131618202224[[#This Row],[İŞİN ADI]],"_",Tablo1710612131618202224[[#This Row],[İŞİN TÜRÜ]])</f>
        <v>___</v>
      </c>
    </row>
    <row r="641" spans="1:11" s="22" customFormat="1" ht="24.95" customHeight="1" x14ac:dyDescent="0.25">
      <c r="A641" s="21"/>
      <c r="F641" s="1"/>
      <c r="G641" s="26"/>
      <c r="H641" s="18"/>
      <c r="I641" s="18"/>
      <c r="J641" s="30"/>
      <c r="K641" s="22" t="str">
        <f>+CONCATENATE(Tablo1710612131618202224[[#This Row],[DOSYA NO]],"_",Tablo1710612131618202224[[#This Row],[MÜŞTERİ ADI]],$P$10,"_",Tablo1710612131618202224[[#This Row],[İŞİN ADI]],"_",Tablo1710612131618202224[[#This Row],[İŞİN TÜRÜ]])</f>
        <v>___</v>
      </c>
    </row>
    <row r="642" spans="1:11" s="22" customFormat="1" ht="24.95" customHeight="1" x14ac:dyDescent="0.25">
      <c r="A642" s="21"/>
      <c r="F642" s="1"/>
      <c r="G642" s="26"/>
      <c r="H642" s="18"/>
      <c r="I642" s="18"/>
      <c r="J642" s="30"/>
      <c r="K642" s="22" t="str">
        <f>+CONCATENATE(Tablo1710612131618202224[[#This Row],[DOSYA NO]],"_",Tablo1710612131618202224[[#This Row],[MÜŞTERİ ADI]],$P$10,"_",Tablo1710612131618202224[[#This Row],[İŞİN ADI]],"_",Tablo1710612131618202224[[#This Row],[İŞİN TÜRÜ]])</f>
        <v>___</v>
      </c>
    </row>
    <row r="643" spans="1:11" s="22" customFormat="1" ht="24.95" customHeight="1" x14ac:dyDescent="0.25">
      <c r="A643" s="21"/>
      <c r="F643" s="1"/>
      <c r="G643" s="26"/>
      <c r="H643" s="18"/>
      <c r="I643" s="18"/>
      <c r="J643" s="30"/>
      <c r="K643" s="22" t="str">
        <f>+CONCATENATE(Tablo1710612131618202224[[#This Row],[DOSYA NO]],"_",Tablo1710612131618202224[[#This Row],[MÜŞTERİ ADI]],$P$10,"_",Tablo1710612131618202224[[#This Row],[İŞİN ADI]],"_",Tablo1710612131618202224[[#This Row],[İŞİN TÜRÜ]])</f>
        <v>___</v>
      </c>
    </row>
    <row r="644" spans="1:11" s="22" customFormat="1" ht="24.95" customHeight="1" x14ac:dyDescent="0.25">
      <c r="A644" s="21"/>
      <c r="F644" s="1"/>
      <c r="G644" s="26"/>
      <c r="H644" s="18"/>
      <c r="I644" s="18"/>
      <c r="J644" s="30"/>
      <c r="K644" s="22" t="str">
        <f>+CONCATENATE(Tablo1710612131618202224[[#This Row],[DOSYA NO]],"_",Tablo1710612131618202224[[#This Row],[MÜŞTERİ ADI]],$P$10,"_",Tablo1710612131618202224[[#This Row],[İŞİN ADI]],"_",Tablo1710612131618202224[[#This Row],[İŞİN TÜRÜ]])</f>
        <v>___</v>
      </c>
    </row>
    <row r="645" spans="1:11" s="22" customFormat="1" ht="24.95" customHeight="1" x14ac:dyDescent="0.25">
      <c r="A645" s="21"/>
      <c r="F645" s="1"/>
      <c r="G645" s="26"/>
      <c r="H645" s="18"/>
      <c r="I645" s="18"/>
      <c r="J645" s="30"/>
      <c r="K645" s="22" t="str">
        <f>+CONCATENATE(Tablo1710612131618202224[[#This Row],[DOSYA NO]],"_",Tablo1710612131618202224[[#This Row],[MÜŞTERİ ADI]],$P$10,"_",Tablo1710612131618202224[[#This Row],[İŞİN ADI]],"_",Tablo1710612131618202224[[#This Row],[İŞİN TÜRÜ]])</f>
        <v>___</v>
      </c>
    </row>
    <row r="646" spans="1:11" s="22" customFormat="1" ht="24.95" customHeight="1" x14ac:dyDescent="0.25">
      <c r="A646" s="21"/>
      <c r="F646" s="1"/>
      <c r="G646" s="26"/>
      <c r="H646" s="18"/>
      <c r="I646" s="18"/>
      <c r="J646" s="30"/>
      <c r="K646" s="22" t="str">
        <f>+CONCATENATE(Tablo1710612131618202224[[#This Row],[DOSYA NO]],"_",Tablo1710612131618202224[[#This Row],[MÜŞTERİ ADI]],$P$10,"_",Tablo1710612131618202224[[#This Row],[İŞİN ADI]],"_",Tablo1710612131618202224[[#This Row],[İŞİN TÜRÜ]])</f>
        <v>___</v>
      </c>
    </row>
    <row r="647" spans="1:11" s="22" customFormat="1" ht="24.95" customHeight="1" x14ac:dyDescent="0.25">
      <c r="A647" s="21"/>
      <c r="F647" s="1"/>
      <c r="G647" s="26"/>
      <c r="H647" s="18"/>
      <c r="I647" s="18"/>
      <c r="J647" s="30"/>
      <c r="K647" s="22" t="str">
        <f>+CONCATENATE(Tablo1710612131618202224[[#This Row],[DOSYA NO]],"_",Tablo1710612131618202224[[#This Row],[MÜŞTERİ ADI]],$P$10,"_",Tablo1710612131618202224[[#This Row],[İŞİN ADI]],"_",Tablo1710612131618202224[[#This Row],[İŞİN TÜRÜ]])</f>
        <v>___</v>
      </c>
    </row>
    <row r="648" spans="1:11" s="22" customFormat="1" ht="24.95" customHeight="1" x14ac:dyDescent="0.25">
      <c r="A648" s="21"/>
      <c r="F648" s="1"/>
      <c r="G648" s="26"/>
      <c r="H648" s="18"/>
      <c r="I648" s="18"/>
      <c r="J648" s="30"/>
      <c r="K648" s="22" t="str">
        <f>+CONCATENATE(Tablo1710612131618202224[[#This Row],[DOSYA NO]],"_",Tablo1710612131618202224[[#This Row],[MÜŞTERİ ADI]],$P$10,"_",Tablo1710612131618202224[[#This Row],[İŞİN ADI]],"_",Tablo1710612131618202224[[#This Row],[İŞİN TÜRÜ]])</f>
        <v>___</v>
      </c>
    </row>
    <row r="649" spans="1:11" s="22" customFormat="1" ht="24.95" customHeight="1" x14ac:dyDescent="0.25">
      <c r="A649" s="21"/>
      <c r="F649" s="1"/>
      <c r="G649" s="26"/>
      <c r="H649" s="18"/>
      <c r="I649" s="18"/>
      <c r="J649" s="30"/>
      <c r="K649" s="22" t="str">
        <f>+CONCATENATE(Tablo1710612131618202224[[#This Row],[DOSYA NO]],"_",Tablo1710612131618202224[[#This Row],[MÜŞTERİ ADI]],$P$10,"_",Tablo1710612131618202224[[#This Row],[İŞİN ADI]],"_",Tablo1710612131618202224[[#This Row],[İŞİN TÜRÜ]])</f>
        <v>___</v>
      </c>
    </row>
    <row r="650" spans="1:11" s="22" customFormat="1" ht="24.95" customHeight="1" x14ac:dyDescent="0.25">
      <c r="A650" s="21"/>
      <c r="F650" s="1"/>
      <c r="G650" s="26"/>
      <c r="H650" s="18"/>
      <c r="I650" s="18"/>
      <c r="J650" s="30"/>
      <c r="K650" s="22" t="str">
        <f>+CONCATENATE(Tablo1710612131618202224[[#This Row],[DOSYA NO]],"_",Tablo1710612131618202224[[#This Row],[MÜŞTERİ ADI]],$P$10,"_",Tablo1710612131618202224[[#This Row],[İŞİN ADI]],"_",Tablo1710612131618202224[[#This Row],[İŞİN TÜRÜ]])</f>
        <v>___</v>
      </c>
    </row>
    <row r="651" spans="1:11" s="22" customFormat="1" ht="24.95" customHeight="1" x14ac:dyDescent="0.25">
      <c r="A651" s="21"/>
      <c r="F651" s="1"/>
      <c r="G651" s="26"/>
      <c r="H651" s="18"/>
      <c r="I651" s="18"/>
      <c r="J651" s="30"/>
      <c r="K651" s="22" t="str">
        <f>+CONCATENATE(Tablo1710612131618202224[[#This Row],[DOSYA NO]],"_",Tablo1710612131618202224[[#This Row],[MÜŞTERİ ADI]],$P$10,"_",Tablo1710612131618202224[[#This Row],[İŞİN ADI]],"_",Tablo1710612131618202224[[#This Row],[İŞİN TÜRÜ]])</f>
        <v>___</v>
      </c>
    </row>
    <row r="652" spans="1:11" s="22" customFormat="1" ht="24.95" customHeight="1" x14ac:dyDescent="0.25">
      <c r="A652" s="21"/>
      <c r="F652" s="1"/>
      <c r="G652" s="26"/>
      <c r="H652" s="18"/>
      <c r="I652" s="18"/>
      <c r="J652" s="30"/>
      <c r="K652" s="22" t="str">
        <f>+CONCATENATE(Tablo1710612131618202224[[#This Row],[DOSYA NO]],"_",Tablo1710612131618202224[[#This Row],[MÜŞTERİ ADI]],$P$10,"_",Tablo1710612131618202224[[#This Row],[İŞİN ADI]],"_",Tablo1710612131618202224[[#This Row],[İŞİN TÜRÜ]])</f>
        <v>___</v>
      </c>
    </row>
    <row r="653" spans="1:11" s="22" customFormat="1" ht="24.95" customHeight="1" x14ac:dyDescent="0.25">
      <c r="A653" s="21"/>
      <c r="F653" s="1"/>
      <c r="G653" s="26"/>
      <c r="H653" s="18"/>
      <c r="I653" s="18"/>
      <c r="J653" s="30"/>
      <c r="K653" s="22" t="str">
        <f>+CONCATENATE(Tablo1710612131618202224[[#This Row],[DOSYA NO]],"_",Tablo1710612131618202224[[#This Row],[MÜŞTERİ ADI]],$P$10,"_",Tablo1710612131618202224[[#This Row],[İŞİN ADI]],"_",Tablo1710612131618202224[[#This Row],[İŞİN TÜRÜ]])</f>
        <v>___</v>
      </c>
    </row>
    <row r="654" spans="1:11" s="22" customFormat="1" ht="24.95" customHeight="1" x14ac:dyDescent="0.25">
      <c r="A654" s="21"/>
      <c r="F654" s="1"/>
      <c r="G654" s="26"/>
      <c r="H654" s="18"/>
      <c r="I654" s="18"/>
      <c r="J654" s="30"/>
      <c r="K654" s="22" t="str">
        <f>+CONCATENATE(Tablo1710612131618202224[[#This Row],[DOSYA NO]],"_",Tablo1710612131618202224[[#This Row],[MÜŞTERİ ADI]],$P$10,"_",Tablo1710612131618202224[[#This Row],[İŞİN ADI]],"_",Tablo1710612131618202224[[#This Row],[İŞİN TÜRÜ]])</f>
        <v>___</v>
      </c>
    </row>
    <row r="655" spans="1:11" s="22" customFormat="1" ht="24.95" customHeight="1" x14ac:dyDescent="0.25">
      <c r="A655" s="21"/>
      <c r="F655" s="1"/>
      <c r="G655" s="26"/>
      <c r="H655" s="18"/>
      <c r="I655" s="18"/>
      <c r="J655" s="30"/>
      <c r="K655" s="22" t="str">
        <f>+CONCATENATE(Tablo1710612131618202224[[#This Row],[DOSYA NO]],"_",Tablo1710612131618202224[[#This Row],[MÜŞTERİ ADI]],$P$10,"_",Tablo1710612131618202224[[#This Row],[İŞİN ADI]],"_",Tablo1710612131618202224[[#This Row],[İŞİN TÜRÜ]])</f>
        <v>___</v>
      </c>
    </row>
    <row r="656" spans="1:11" s="22" customFormat="1" ht="24.95" customHeight="1" x14ac:dyDescent="0.25">
      <c r="A656" s="21"/>
      <c r="F656" s="1"/>
      <c r="G656" s="26"/>
      <c r="H656" s="18"/>
      <c r="I656" s="18"/>
      <c r="J656" s="30"/>
      <c r="K656" s="22" t="str">
        <f>+CONCATENATE(Tablo1710612131618202224[[#This Row],[DOSYA NO]],"_",Tablo1710612131618202224[[#This Row],[MÜŞTERİ ADI]],$P$10,"_",Tablo1710612131618202224[[#This Row],[İŞİN ADI]],"_",Tablo1710612131618202224[[#This Row],[İŞİN TÜRÜ]])</f>
        <v>___</v>
      </c>
    </row>
    <row r="657" spans="1:11" s="22" customFormat="1" ht="24.95" customHeight="1" x14ac:dyDescent="0.25">
      <c r="A657" s="21"/>
      <c r="F657" s="1"/>
      <c r="G657" s="26"/>
      <c r="H657" s="18"/>
      <c r="I657" s="18"/>
      <c r="J657" s="30"/>
      <c r="K657" s="22" t="str">
        <f>+CONCATENATE(Tablo1710612131618202224[[#This Row],[DOSYA NO]],"_",Tablo1710612131618202224[[#This Row],[MÜŞTERİ ADI]],$P$10,"_",Tablo1710612131618202224[[#This Row],[İŞİN ADI]],"_",Tablo1710612131618202224[[#This Row],[İŞİN TÜRÜ]])</f>
        <v>___</v>
      </c>
    </row>
    <row r="658" spans="1:11" s="22" customFormat="1" ht="24.95" customHeight="1" x14ac:dyDescent="0.25">
      <c r="A658" s="21"/>
      <c r="F658" s="1"/>
      <c r="G658" s="26"/>
      <c r="H658" s="18"/>
      <c r="I658" s="18"/>
      <c r="J658" s="30"/>
      <c r="K658" s="22" t="str">
        <f>+CONCATENATE(Tablo1710612131618202224[[#This Row],[DOSYA NO]],"_",Tablo1710612131618202224[[#This Row],[MÜŞTERİ ADI]],$P$10,"_",Tablo1710612131618202224[[#This Row],[İŞİN ADI]],"_",Tablo1710612131618202224[[#This Row],[İŞİN TÜRÜ]])</f>
        <v>___</v>
      </c>
    </row>
    <row r="659" spans="1:11" s="22" customFormat="1" ht="24.95" customHeight="1" x14ac:dyDescent="0.25">
      <c r="A659" s="21"/>
      <c r="F659" s="1"/>
      <c r="G659" s="26"/>
      <c r="H659" s="18"/>
      <c r="I659" s="18"/>
      <c r="J659" s="30"/>
      <c r="K659" s="22" t="str">
        <f>+CONCATENATE(Tablo1710612131618202224[[#This Row],[DOSYA NO]],"_",Tablo1710612131618202224[[#This Row],[MÜŞTERİ ADI]],$P$10,"_",Tablo1710612131618202224[[#This Row],[İŞİN ADI]],"_",Tablo1710612131618202224[[#This Row],[İŞİN TÜRÜ]])</f>
        <v>___</v>
      </c>
    </row>
    <row r="660" spans="1:11" s="22" customFormat="1" ht="24.95" customHeight="1" x14ac:dyDescent="0.25">
      <c r="A660" s="21"/>
      <c r="F660" s="1"/>
      <c r="G660" s="26"/>
      <c r="H660" s="18"/>
      <c r="I660" s="18"/>
      <c r="J660" s="30"/>
      <c r="K660" s="22" t="str">
        <f>+CONCATENATE(Tablo1710612131618202224[[#This Row],[DOSYA NO]],"_",Tablo1710612131618202224[[#This Row],[MÜŞTERİ ADI]],$P$10,"_",Tablo1710612131618202224[[#This Row],[İŞİN ADI]],"_",Tablo1710612131618202224[[#This Row],[İŞİN TÜRÜ]])</f>
        <v>___</v>
      </c>
    </row>
    <row r="661" spans="1:11" s="22" customFormat="1" ht="24.95" customHeight="1" x14ac:dyDescent="0.25">
      <c r="A661" s="21"/>
      <c r="F661" s="1"/>
      <c r="G661" s="26"/>
      <c r="H661" s="18"/>
      <c r="I661" s="18"/>
      <c r="J661" s="30"/>
      <c r="K661" s="22" t="str">
        <f>+CONCATENATE(Tablo1710612131618202224[[#This Row],[DOSYA NO]],"_",Tablo1710612131618202224[[#This Row],[MÜŞTERİ ADI]],$P$10,"_",Tablo1710612131618202224[[#This Row],[İŞİN ADI]],"_",Tablo1710612131618202224[[#This Row],[İŞİN TÜRÜ]])</f>
        <v>___</v>
      </c>
    </row>
    <row r="662" spans="1:11" s="22" customFormat="1" ht="24.95" customHeight="1" x14ac:dyDescent="0.25">
      <c r="A662" s="21"/>
      <c r="F662" s="1"/>
      <c r="G662" s="26"/>
      <c r="H662" s="18"/>
      <c r="I662" s="18"/>
      <c r="J662" s="30"/>
      <c r="K662" s="22" t="str">
        <f>+CONCATENATE(Tablo1710612131618202224[[#This Row],[DOSYA NO]],"_",Tablo1710612131618202224[[#This Row],[MÜŞTERİ ADI]],$P$10,"_",Tablo1710612131618202224[[#This Row],[İŞİN ADI]],"_",Tablo1710612131618202224[[#This Row],[İŞİN TÜRÜ]])</f>
        <v>___</v>
      </c>
    </row>
    <row r="663" spans="1:11" s="22" customFormat="1" ht="24.95" customHeight="1" x14ac:dyDescent="0.25">
      <c r="A663" s="21"/>
      <c r="F663" s="1"/>
      <c r="G663" s="26"/>
      <c r="H663" s="18"/>
      <c r="I663" s="18"/>
      <c r="J663" s="30"/>
      <c r="K663" s="22" t="str">
        <f>+CONCATENATE(Tablo1710612131618202224[[#This Row],[DOSYA NO]],"_",Tablo1710612131618202224[[#This Row],[MÜŞTERİ ADI]],$P$10,"_",Tablo1710612131618202224[[#This Row],[İŞİN ADI]],"_",Tablo1710612131618202224[[#This Row],[İŞİN TÜRÜ]])</f>
        <v>___</v>
      </c>
    </row>
    <row r="664" spans="1:11" s="22" customFormat="1" ht="24.95" customHeight="1" x14ac:dyDescent="0.25">
      <c r="A664" s="21"/>
      <c r="F664" s="1"/>
      <c r="G664" s="26"/>
      <c r="H664" s="18"/>
      <c r="I664" s="18"/>
      <c r="J664" s="30"/>
      <c r="K664" s="22" t="str">
        <f>+CONCATENATE(Tablo1710612131618202224[[#This Row],[DOSYA NO]],"_",Tablo1710612131618202224[[#This Row],[MÜŞTERİ ADI]],$P$10,"_",Tablo1710612131618202224[[#This Row],[İŞİN ADI]],"_",Tablo1710612131618202224[[#This Row],[İŞİN TÜRÜ]])</f>
        <v>___</v>
      </c>
    </row>
    <row r="665" spans="1:11" s="22" customFormat="1" ht="24.95" customHeight="1" x14ac:dyDescent="0.25">
      <c r="A665" s="21"/>
      <c r="F665" s="1"/>
      <c r="G665" s="26"/>
      <c r="H665" s="18"/>
      <c r="I665" s="18"/>
      <c r="J665" s="30"/>
      <c r="K665" s="22" t="str">
        <f>+CONCATENATE(Tablo1710612131618202224[[#This Row],[DOSYA NO]],"_",Tablo1710612131618202224[[#This Row],[MÜŞTERİ ADI]],$P$10,"_",Tablo1710612131618202224[[#This Row],[İŞİN ADI]],"_",Tablo1710612131618202224[[#This Row],[İŞİN TÜRÜ]])</f>
        <v>___</v>
      </c>
    </row>
    <row r="666" spans="1:11" s="22" customFormat="1" ht="24.95" customHeight="1" x14ac:dyDescent="0.25">
      <c r="A666" s="21"/>
      <c r="F666" s="1"/>
      <c r="G666" s="26"/>
      <c r="H666" s="18"/>
      <c r="I666" s="18"/>
      <c r="J666" s="30"/>
      <c r="K666" s="22" t="str">
        <f>+CONCATENATE(Tablo1710612131618202224[[#This Row],[DOSYA NO]],"_",Tablo1710612131618202224[[#This Row],[MÜŞTERİ ADI]],$P$10,"_",Tablo1710612131618202224[[#This Row],[İŞİN ADI]],"_",Tablo1710612131618202224[[#This Row],[İŞİN TÜRÜ]])</f>
        <v>___</v>
      </c>
    </row>
    <row r="667" spans="1:11" s="22" customFormat="1" ht="24.95" customHeight="1" x14ac:dyDescent="0.25">
      <c r="A667" s="21"/>
      <c r="F667" s="1"/>
      <c r="G667" s="26"/>
      <c r="H667" s="18"/>
      <c r="I667" s="18"/>
      <c r="J667" s="30"/>
      <c r="K667" s="22" t="str">
        <f>+CONCATENATE(Tablo1710612131618202224[[#This Row],[DOSYA NO]],"_",Tablo1710612131618202224[[#This Row],[MÜŞTERİ ADI]],$P$10,"_",Tablo1710612131618202224[[#This Row],[İŞİN ADI]],"_",Tablo1710612131618202224[[#This Row],[İŞİN TÜRÜ]])</f>
        <v>___</v>
      </c>
    </row>
    <row r="668" spans="1:11" s="22" customFormat="1" ht="24.95" customHeight="1" x14ac:dyDescent="0.25">
      <c r="A668" s="21"/>
      <c r="F668" s="1"/>
      <c r="G668" s="26"/>
      <c r="H668" s="18"/>
      <c r="I668" s="18"/>
      <c r="J668" s="30"/>
      <c r="K668" s="22" t="str">
        <f>+CONCATENATE(Tablo1710612131618202224[[#This Row],[DOSYA NO]],"_",Tablo1710612131618202224[[#This Row],[MÜŞTERİ ADI]],$P$10,"_",Tablo1710612131618202224[[#This Row],[İŞİN ADI]],"_",Tablo1710612131618202224[[#This Row],[İŞİN TÜRÜ]])</f>
        <v>___</v>
      </c>
    </row>
    <row r="669" spans="1:11" s="22" customFormat="1" ht="24.95" customHeight="1" x14ac:dyDescent="0.25">
      <c r="A669" s="21"/>
      <c r="F669" s="1"/>
      <c r="G669" s="26"/>
      <c r="H669" s="18"/>
      <c r="I669" s="18"/>
      <c r="J669" s="30"/>
      <c r="K669" s="22" t="str">
        <f>+CONCATENATE(Tablo1710612131618202224[[#This Row],[DOSYA NO]],"_",Tablo1710612131618202224[[#This Row],[MÜŞTERİ ADI]],$P$10,"_",Tablo1710612131618202224[[#This Row],[İŞİN ADI]],"_",Tablo1710612131618202224[[#This Row],[İŞİN TÜRÜ]])</f>
        <v>___</v>
      </c>
    </row>
    <row r="670" spans="1:11" s="22" customFormat="1" ht="24.95" customHeight="1" x14ac:dyDescent="0.25">
      <c r="A670" s="21"/>
      <c r="F670" s="1"/>
      <c r="G670" s="26"/>
      <c r="H670" s="18"/>
      <c r="I670" s="18"/>
      <c r="J670" s="30"/>
      <c r="K670" s="22" t="str">
        <f>+CONCATENATE(Tablo1710612131618202224[[#This Row],[DOSYA NO]],"_",Tablo1710612131618202224[[#This Row],[MÜŞTERİ ADI]],$P$10,"_",Tablo1710612131618202224[[#This Row],[İŞİN ADI]],"_",Tablo1710612131618202224[[#This Row],[İŞİN TÜRÜ]])</f>
        <v>___</v>
      </c>
    </row>
    <row r="671" spans="1:11" s="22" customFormat="1" ht="24.95" customHeight="1" x14ac:dyDescent="0.25">
      <c r="A671" s="21"/>
      <c r="F671" s="1"/>
      <c r="G671" s="26"/>
      <c r="H671" s="18"/>
      <c r="I671" s="18"/>
      <c r="J671" s="30"/>
      <c r="K671" s="22" t="str">
        <f>+CONCATENATE(Tablo1710612131618202224[[#This Row],[DOSYA NO]],"_",Tablo1710612131618202224[[#This Row],[MÜŞTERİ ADI]],$P$10,"_",Tablo1710612131618202224[[#This Row],[İŞİN ADI]],"_",Tablo1710612131618202224[[#This Row],[İŞİN TÜRÜ]])</f>
        <v>___</v>
      </c>
    </row>
    <row r="672" spans="1:11" s="22" customFormat="1" ht="24.95" customHeight="1" x14ac:dyDescent="0.25">
      <c r="A672" s="21"/>
      <c r="F672" s="1"/>
      <c r="G672" s="26"/>
      <c r="H672" s="18"/>
      <c r="I672" s="18"/>
      <c r="J672" s="30"/>
      <c r="K672" s="22" t="str">
        <f>+CONCATENATE(Tablo1710612131618202224[[#This Row],[DOSYA NO]],"_",Tablo1710612131618202224[[#This Row],[MÜŞTERİ ADI]],$P$10,"_",Tablo1710612131618202224[[#This Row],[İŞİN ADI]],"_",Tablo1710612131618202224[[#This Row],[İŞİN TÜRÜ]])</f>
        <v>___</v>
      </c>
    </row>
    <row r="673" spans="1:11" s="22" customFormat="1" ht="24.95" customHeight="1" x14ac:dyDescent="0.25">
      <c r="A673" s="21"/>
      <c r="F673" s="1"/>
      <c r="G673" s="26"/>
      <c r="H673" s="18"/>
      <c r="I673" s="18"/>
      <c r="J673" s="30"/>
      <c r="K673" s="22" t="str">
        <f>+CONCATENATE(Tablo1710612131618202224[[#This Row],[DOSYA NO]],"_",Tablo1710612131618202224[[#This Row],[MÜŞTERİ ADI]],$P$10,"_",Tablo1710612131618202224[[#This Row],[İŞİN ADI]],"_",Tablo1710612131618202224[[#This Row],[İŞİN TÜRÜ]])</f>
        <v>___</v>
      </c>
    </row>
    <row r="674" spans="1:11" s="22" customFormat="1" ht="24.95" customHeight="1" x14ac:dyDescent="0.25">
      <c r="A674" s="21"/>
      <c r="F674" s="1"/>
      <c r="G674" s="26"/>
      <c r="H674" s="18"/>
      <c r="I674" s="18"/>
      <c r="J674" s="30"/>
      <c r="K674" s="22" t="str">
        <f>+CONCATENATE(Tablo1710612131618202224[[#This Row],[DOSYA NO]],"_",Tablo1710612131618202224[[#This Row],[MÜŞTERİ ADI]],$P$10,"_",Tablo1710612131618202224[[#This Row],[İŞİN ADI]],"_",Tablo1710612131618202224[[#This Row],[İŞİN TÜRÜ]])</f>
        <v>___</v>
      </c>
    </row>
    <row r="675" spans="1:11" s="22" customFormat="1" ht="24.95" customHeight="1" x14ac:dyDescent="0.25">
      <c r="A675" s="21"/>
      <c r="F675" s="1"/>
      <c r="G675" s="26"/>
      <c r="H675" s="18"/>
      <c r="I675" s="18"/>
      <c r="J675" s="30"/>
      <c r="K675" s="22" t="str">
        <f>+CONCATENATE(Tablo1710612131618202224[[#This Row],[DOSYA NO]],"_",Tablo1710612131618202224[[#This Row],[MÜŞTERİ ADI]],$P$10,"_",Tablo1710612131618202224[[#This Row],[İŞİN ADI]],"_",Tablo1710612131618202224[[#This Row],[İŞİN TÜRÜ]])</f>
        <v>___</v>
      </c>
    </row>
    <row r="676" spans="1:11" s="22" customFormat="1" ht="24.95" customHeight="1" x14ac:dyDescent="0.25">
      <c r="A676" s="21"/>
      <c r="F676" s="1"/>
      <c r="G676" s="26"/>
      <c r="H676" s="18"/>
      <c r="I676" s="18"/>
      <c r="J676" s="30"/>
      <c r="K676" s="22" t="str">
        <f>+CONCATENATE(Tablo1710612131618202224[[#This Row],[DOSYA NO]],"_",Tablo1710612131618202224[[#This Row],[MÜŞTERİ ADI]],$P$10,"_",Tablo1710612131618202224[[#This Row],[İŞİN ADI]],"_",Tablo1710612131618202224[[#This Row],[İŞİN TÜRÜ]])</f>
        <v>___</v>
      </c>
    </row>
    <row r="677" spans="1:11" s="22" customFormat="1" ht="24.95" customHeight="1" x14ac:dyDescent="0.25">
      <c r="A677" s="21"/>
      <c r="F677" s="1"/>
      <c r="G677" s="26"/>
      <c r="H677" s="18"/>
      <c r="I677" s="18"/>
      <c r="J677" s="30"/>
      <c r="K677" s="22" t="str">
        <f>+CONCATENATE(Tablo1710612131618202224[[#This Row],[DOSYA NO]],"_",Tablo1710612131618202224[[#This Row],[MÜŞTERİ ADI]],$P$10,"_",Tablo1710612131618202224[[#This Row],[İŞİN ADI]],"_",Tablo1710612131618202224[[#This Row],[İŞİN TÜRÜ]])</f>
        <v>___</v>
      </c>
    </row>
    <row r="678" spans="1:11" s="22" customFormat="1" ht="24.95" customHeight="1" x14ac:dyDescent="0.25">
      <c r="A678" s="21"/>
      <c r="F678" s="1"/>
      <c r="G678" s="26"/>
      <c r="H678" s="18"/>
      <c r="I678" s="18"/>
      <c r="J678" s="30"/>
      <c r="K678" s="22" t="str">
        <f>+CONCATENATE(Tablo1710612131618202224[[#This Row],[DOSYA NO]],"_",Tablo1710612131618202224[[#This Row],[MÜŞTERİ ADI]],$P$10,"_",Tablo1710612131618202224[[#This Row],[İŞİN ADI]],"_",Tablo1710612131618202224[[#This Row],[İŞİN TÜRÜ]])</f>
        <v>___</v>
      </c>
    </row>
    <row r="679" spans="1:11" s="22" customFormat="1" ht="24.95" customHeight="1" x14ac:dyDescent="0.25">
      <c r="A679" s="21"/>
      <c r="F679" s="1"/>
      <c r="G679" s="26"/>
      <c r="H679" s="18"/>
      <c r="I679" s="18"/>
      <c r="J679" s="30"/>
      <c r="K679" s="22" t="str">
        <f>+CONCATENATE(Tablo1710612131618202224[[#This Row],[DOSYA NO]],"_",Tablo1710612131618202224[[#This Row],[MÜŞTERİ ADI]],$P$10,"_",Tablo1710612131618202224[[#This Row],[İŞİN ADI]],"_",Tablo1710612131618202224[[#This Row],[İŞİN TÜRÜ]])</f>
        <v>___</v>
      </c>
    </row>
    <row r="680" spans="1:11" s="22" customFormat="1" ht="24.95" customHeight="1" x14ac:dyDescent="0.25">
      <c r="A680" s="21"/>
      <c r="F680" s="1"/>
      <c r="G680" s="26"/>
      <c r="H680" s="18"/>
      <c r="I680" s="18"/>
      <c r="J680" s="30"/>
      <c r="K680" s="22" t="str">
        <f>+CONCATENATE(Tablo1710612131618202224[[#This Row],[DOSYA NO]],"_",Tablo1710612131618202224[[#This Row],[MÜŞTERİ ADI]],$P$10,"_",Tablo1710612131618202224[[#This Row],[İŞİN ADI]],"_",Tablo1710612131618202224[[#This Row],[İŞİN TÜRÜ]])</f>
        <v>___</v>
      </c>
    </row>
    <row r="681" spans="1:11" s="22" customFormat="1" ht="24.95" customHeight="1" x14ac:dyDescent="0.25">
      <c r="A681" s="21"/>
      <c r="F681" s="1"/>
      <c r="G681" s="26"/>
      <c r="H681" s="18"/>
      <c r="I681" s="18"/>
      <c r="J681" s="30"/>
      <c r="K681" s="22" t="str">
        <f>+CONCATENATE(Tablo1710612131618202224[[#This Row],[DOSYA NO]],"_",Tablo1710612131618202224[[#This Row],[MÜŞTERİ ADI]],$P$10,"_",Tablo1710612131618202224[[#This Row],[İŞİN ADI]],"_",Tablo1710612131618202224[[#This Row],[İŞİN TÜRÜ]])</f>
        <v>___</v>
      </c>
    </row>
    <row r="682" spans="1:11" s="22" customFormat="1" ht="24.95" customHeight="1" x14ac:dyDescent="0.25">
      <c r="A682" s="21"/>
      <c r="F682" s="1"/>
      <c r="G682" s="26"/>
      <c r="H682" s="18"/>
      <c r="I682" s="18"/>
      <c r="J682" s="30"/>
      <c r="K682" s="22" t="str">
        <f>+CONCATENATE(Tablo1710612131618202224[[#This Row],[DOSYA NO]],"_",Tablo1710612131618202224[[#This Row],[MÜŞTERİ ADI]],$P$10,"_",Tablo1710612131618202224[[#This Row],[İŞİN ADI]],"_",Tablo1710612131618202224[[#This Row],[İŞİN TÜRÜ]])</f>
        <v>___</v>
      </c>
    </row>
    <row r="683" spans="1:11" s="22" customFormat="1" ht="24.95" customHeight="1" x14ac:dyDescent="0.25">
      <c r="A683" s="21"/>
      <c r="F683" s="1"/>
      <c r="G683" s="26"/>
      <c r="H683" s="18"/>
      <c r="I683" s="18"/>
      <c r="J683" s="30"/>
      <c r="K683" s="22" t="str">
        <f>+CONCATENATE(Tablo1710612131618202224[[#This Row],[DOSYA NO]],"_",Tablo1710612131618202224[[#This Row],[MÜŞTERİ ADI]],$P$10,"_",Tablo1710612131618202224[[#This Row],[İŞİN ADI]],"_",Tablo1710612131618202224[[#This Row],[İŞİN TÜRÜ]])</f>
        <v>___</v>
      </c>
    </row>
    <row r="684" spans="1:11" s="22" customFormat="1" ht="24.95" customHeight="1" x14ac:dyDescent="0.25">
      <c r="A684" s="21"/>
      <c r="F684" s="1"/>
      <c r="G684" s="26"/>
      <c r="H684" s="18"/>
      <c r="I684" s="18"/>
      <c r="J684" s="30"/>
      <c r="K684" s="22" t="str">
        <f>+CONCATENATE(Tablo1710612131618202224[[#This Row],[DOSYA NO]],"_",Tablo1710612131618202224[[#This Row],[MÜŞTERİ ADI]],$P$10,"_",Tablo1710612131618202224[[#This Row],[İŞİN ADI]],"_",Tablo1710612131618202224[[#This Row],[İŞİN TÜRÜ]])</f>
        <v>___</v>
      </c>
    </row>
    <row r="685" spans="1:11" s="22" customFormat="1" ht="24.95" customHeight="1" x14ac:dyDescent="0.25">
      <c r="A685" s="21"/>
      <c r="F685" s="1"/>
      <c r="G685" s="26"/>
      <c r="H685" s="18"/>
      <c r="I685" s="18"/>
      <c r="J685" s="30"/>
      <c r="K685" s="22" t="str">
        <f>+CONCATENATE(Tablo1710612131618202224[[#This Row],[DOSYA NO]],"_",Tablo1710612131618202224[[#This Row],[MÜŞTERİ ADI]],$P$10,"_",Tablo1710612131618202224[[#This Row],[İŞİN ADI]],"_",Tablo1710612131618202224[[#This Row],[İŞİN TÜRÜ]])</f>
        <v>___</v>
      </c>
    </row>
    <row r="686" spans="1:11" s="22" customFormat="1" ht="24.95" customHeight="1" x14ac:dyDescent="0.25">
      <c r="A686" s="21"/>
      <c r="F686" s="1"/>
      <c r="G686" s="26"/>
      <c r="H686" s="18"/>
      <c r="I686" s="18"/>
      <c r="J686" s="30"/>
      <c r="K686" s="22" t="str">
        <f>+CONCATENATE(Tablo1710612131618202224[[#This Row],[DOSYA NO]],"_",Tablo1710612131618202224[[#This Row],[MÜŞTERİ ADI]],$P$10,"_",Tablo1710612131618202224[[#This Row],[İŞİN ADI]],"_",Tablo1710612131618202224[[#This Row],[İŞİN TÜRÜ]])</f>
        <v>___</v>
      </c>
    </row>
    <row r="687" spans="1:11" s="22" customFormat="1" ht="24.95" customHeight="1" x14ac:dyDescent="0.25">
      <c r="A687" s="21"/>
      <c r="F687" s="1"/>
      <c r="G687" s="26"/>
      <c r="H687" s="18"/>
      <c r="I687" s="18"/>
      <c r="J687" s="30"/>
      <c r="K687" s="22" t="str">
        <f>+CONCATENATE(Tablo1710612131618202224[[#This Row],[DOSYA NO]],"_",Tablo1710612131618202224[[#This Row],[MÜŞTERİ ADI]],$P$10,"_",Tablo1710612131618202224[[#This Row],[İŞİN ADI]],"_",Tablo1710612131618202224[[#This Row],[İŞİN TÜRÜ]])</f>
        <v>___</v>
      </c>
    </row>
    <row r="688" spans="1:11" s="22" customFormat="1" ht="24.95" customHeight="1" x14ac:dyDescent="0.25">
      <c r="A688" s="21"/>
      <c r="F688" s="1"/>
      <c r="G688" s="26"/>
      <c r="H688" s="18"/>
      <c r="I688" s="18"/>
      <c r="J688" s="30"/>
      <c r="K688" s="22" t="str">
        <f>+CONCATENATE(Tablo1710612131618202224[[#This Row],[DOSYA NO]],"_",Tablo1710612131618202224[[#This Row],[MÜŞTERİ ADI]],$P$10,"_",Tablo1710612131618202224[[#This Row],[İŞİN ADI]],"_",Tablo1710612131618202224[[#This Row],[İŞİN TÜRÜ]])</f>
        <v>___</v>
      </c>
    </row>
    <row r="689" spans="1:11" s="22" customFormat="1" ht="24.95" customHeight="1" x14ac:dyDescent="0.25">
      <c r="A689" s="21"/>
      <c r="F689" s="1"/>
      <c r="G689" s="26"/>
      <c r="H689" s="18"/>
      <c r="I689" s="18"/>
      <c r="J689" s="30"/>
      <c r="K689" s="22" t="str">
        <f>+CONCATENATE(Tablo1710612131618202224[[#This Row],[DOSYA NO]],"_",Tablo1710612131618202224[[#This Row],[MÜŞTERİ ADI]],$P$10,"_",Tablo1710612131618202224[[#This Row],[İŞİN ADI]],"_",Tablo1710612131618202224[[#This Row],[İŞİN TÜRÜ]])</f>
        <v>___</v>
      </c>
    </row>
    <row r="690" spans="1:11" s="22" customFormat="1" ht="24.95" customHeight="1" x14ac:dyDescent="0.25">
      <c r="A690" s="21"/>
      <c r="F690" s="1"/>
      <c r="G690" s="26"/>
      <c r="H690" s="18"/>
      <c r="I690" s="18"/>
      <c r="J690" s="30"/>
      <c r="K690" s="22" t="str">
        <f>+CONCATENATE(Tablo1710612131618202224[[#This Row],[DOSYA NO]],"_",Tablo1710612131618202224[[#This Row],[MÜŞTERİ ADI]],$P$10,"_",Tablo1710612131618202224[[#This Row],[İŞİN ADI]],"_",Tablo1710612131618202224[[#This Row],[İŞİN TÜRÜ]])</f>
        <v>___</v>
      </c>
    </row>
    <row r="691" spans="1:11" s="22" customFormat="1" ht="24.95" customHeight="1" x14ac:dyDescent="0.25">
      <c r="A691" s="21"/>
      <c r="F691" s="1"/>
      <c r="G691" s="26"/>
      <c r="H691" s="18"/>
      <c r="I691" s="18"/>
      <c r="J691" s="30"/>
      <c r="K691" s="22" t="str">
        <f>+CONCATENATE(Tablo1710612131618202224[[#This Row],[DOSYA NO]],"_",Tablo1710612131618202224[[#This Row],[MÜŞTERİ ADI]],$P$10,"_",Tablo1710612131618202224[[#This Row],[İŞİN ADI]],"_",Tablo1710612131618202224[[#This Row],[İŞİN TÜRÜ]])</f>
        <v>___</v>
      </c>
    </row>
    <row r="692" spans="1:11" s="22" customFormat="1" ht="24.95" customHeight="1" x14ac:dyDescent="0.25">
      <c r="A692" s="21"/>
      <c r="F692" s="1"/>
      <c r="G692" s="26"/>
      <c r="H692" s="18"/>
      <c r="I692" s="18"/>
      <c r="J692" s="30"/>
      <c r="K692" s="22" t="str">
        <f>+CONCATENATE(Tablo1710612131618202224[[#This Row],[DOSYA NO]],"_",Tablo1710612131618202224[[#This Row],[MÜŞTERİ ADI]],$P$10,"_",Tablo1710612131618202224[[#This Row],[İŞİN ADI]],"_",Tablo1710612131618202224[[#This Row],[İŞİN TÜRÜ]])</f>
        <v>___</v>
      </c>
    </row>
    <row r="693" spans="1:11" s="22" customFormat="1" ht="24.95" customHeight="1" x14ac:dyDescent="0.25">
      <c r="A693" s="21"/>
      <c r="F693" s="1"/>
      <c r="G693" s="26"/>
      <c r="H693" s="18"/>
      <c r="I693" s="18"/>
      <c r="J693" s="30"/>
      <c r="K693" s="22" t="str">
        <f>+CONCATENATE(Tablo1710612131618202224[[#This Row],[DOSYA NO]],"_",Tablo1710612131618202224[[#This Row],[MÜŞTERİ ADI]],$P$10,"_",Tablo1710612131618202224[[#This Row],[İŞİN ADI]],"_",Tablo1710612131618202224[[#This Row],[İŞİN TÜRÜ]])</f>
        <v>___</v>
      </c>
    </row>
    <row r="694" spans="1:11" s="22" customFormat="1" ht="24.95" customHeight="1" x14ac:dyDescent="0.25">
      <c r="A694" s="21"/>
      <c r="F694" s="1"/>
      <c r="G694" s="26"/>
      <c r="H694" s="18"/>
      <c r="I694" s="18"/>
      <c r="J694" s="30"/>
      <c r="K694" s="22" t="str">
        <f>+CONCATENATE(Tablo1710612131618202224[[#This Row],[DOSYA NO]],"_",Tablo1710612131618202224[[#This Row],[MÜŞTERİ ADI]],$P$10,"_",Tablo1710612131618202224[[#This Row],[İŞİN ADI]],"_",Tablo1710612131618202224[[#This Row],[İŞİN TÜRÜ]])</f>
        <v>___</v>
      </c>
    </row>
    <row r="695" spans="1:11" s="22" customFormat="1" ht="24.95" customHeight="1" x14ac:dyDescent="0.25">
      <c r="A695" s="21"/>
      <c r="F695" s="1"/>
      <c r="G695" s="26"/>
      <c r="H695" s="18"/>
      <c r="I695" s="18"/>
      <c r="J695" s="30"/>
      <c r="K695" s="22" t="str">
        <f>+CONCATENATE(Tablo1710612131618202224[[#This Row],[DOSYA NO]],"_",Tablo1710612131618202224[[#This Row],[MÜŞTERİ ADI]],$P$10,"_",Tablo1710612131618202224[[#This Row],[İŞİN ADI]],"_",Tablo1710612131618202224[[#This Row],[İŞİN TÜRÜ]])</f>
        <v>___</v>
      </c>
    </row>
    <row r="696" spans="1:11" s="22" customFormat="1" ht="24.95" customHeight="1" x14ac:dyDescent="0.25">
      <c r="A696" s="21"/>
      <c r="F696" s="1"/>
      <c r="G696" s="26"/>
      <c r="H696" s="18"/>
      <c r="I696" s="18"/>
      <c r="J696" s="30"/>
      <c r="K696" s="22" t="str">
        <f>+CONCATENATE(Tablo1710612131618202224[[#This Row],[DOSYA NO]],"_",Tablo1710612131618202224[[#This Row],[MÜŞTERİ ADI]],$P$10,"_",Tablo1710612131618202224[[#This Row],[İŞİN ADI]],"_",Tablo1710612131618202224[[#This Row],[İŞİN TÜRÜ]])</f>
        <v>___</v>
      </c>
    </row>
    <row r="697" spans="1:11" s="22" customFormat="1" ht="24.95" customHeight="1" x14ac:dyDescent="0.25">
      <c r="A697" s="21"/>
      <c r="F697" s="1"/>
      <c r="G697" s="26"/>
      <c r="H697" s="18"/>
      <c r="I697" s="18"/>
      <c r="J697" s="30"/>
      <c r="K697" s="22" t="str">
        <f>+CONCATENATE(Tablo1710612131618202224[[#This Row],[DOSYA NO]],"_",Tablo1710612131618202224[[#This Row],[MÜŞTERİ ADI]],$P$10,"_",Tablo1710612131618202224[[#This Row],[İŞİN ADI]],"_",Tablo1710612131618202224[[#This Row],[İŞİN TÜRÜ]])</f>
        <v>___</v>
      </c>
    </row>
    <row r="698" spans="1:11" s="22" customFormat="1" ht="24.95" customHeight="1" x14ac:dyDescent="0.25">
      <c r="A698" s="21"/>
      <c r="F698" s="1"/>
      <c r="G698" s="26"/>
      <c r="H698" s="18"/>
      <c r="I698" s="18"/>
      <c r="J698" s="30"/>
      <c r="K698" s="22" t="str">
        <f>+CONCATENATE(Tablo1710612131618202224[[#This Row],[DOSYA NO]],"_",Tablo1710612131618202224[[#This Row],[MÜŞTERİ ADI]],$P$10,"_",Tablo1710612131618202224[[#This Row],[İŞİN ADI]],"_",Tablo1710612131618202224[[#This Row],[İŞİN TÜRÜ]])</f>
        <v>___</v>
      </c>
    </row>
    <row r="699" spans="1:11" s="22" customFormat="1" ht="24.95" customHeight="1" x14ac:dyDescent="0.25">
      <c r="A699" s="21"/>
      <c r="F699" s="1"/>
      <c r="G699" s="26"/>
      <c r="H699" s="18"/>
      <c r="I699" s="18"/>
      <c r="J699" s="30"/>
      <c r="K699" s="22" t="str">
        <f>+CONCATENATE(Tablo1710612131618202224[[#This Row],[DOSYA NO]],"_",Tablo1710612131618202224[[#This Row],[MÜŞTERİ ADI]],$P$10,"_",Tablo1710612131618202224[[#This Row],[İŞİN ADI]],"_",Tablo1710612131618202224[[#This Row],[İŞİN TÜRÜ]])</f>
        <v>___</v>
      </c>
    </row>
    <row r="700" spans="1:11" s="22" customFormat="1" ht="24.95" customHeight="1" x14ac:dyDescent="0.25">
      <c r="A700" s="21"/>
      <c r="F700" s="1"/>
      <c r="G700" s="26"/>
      <c r="H700" s="18"/>
      <c r="I700" s="18"/>
      <c r="J700" s="30"/>
      <c r="K700" s="22" t="str">
        <f>+CONCATENATE(Tablo1710612131618202224[[#This Row],[DOSYA NO]],"_",Tablo1710612131618202224[[#This Row],[MÜŞTERİ ADI]],$P$10,"_",Tablo1710612131618202224[[#This Row],[İŞİN ADI]],"_",Tablo1710612131618202224[[#This Row],[İŞİN TÜRÜ]])</f>
        <v>___</v>
      </c>
    </row>
    <row r="701" spans="1:11" s="22" customFormat="1" ht="24.95" customHeight="1" x14ac:dyDescent="0.25">
      <c r="A701" s="21"/>
      <c r="F701" s="1"/>
      <c r="G701" s="26"/>
      <c r="H701" s="18"/>
      <c r="I701" s="18"/>
      <c r="J701" s="30"/>
      <c r="K701" s="22" t="str">
        <f>+CONCATENATE(Tablo1710612131618202224[[#This Row],[DOSYA NO]],"_",Tablo1710612131618202224[[#This Row],[MÜŞTERİ ADI]],$P$10,"_",Tablo1710612131618202224[[#This Row],[İŞİN ADI]],"_",Tablo1710612131618202224[[#This Row],[İŞİN TÜRÜ]])</f>
        <v>___</v>
      </c>
    </row>
    <row r="702" spans="1:11" s="22" customFormat="1" ht="24.95" customHeight="1" x14ac:dyDescent="0.25">
      <c r="A702" s="21"/>
      <c r="F702" s="1"/>
      <c r="G702" s="26"/>
      <c r="H702" s="18"/>
      <c r="I702" s="18"/>
      <c r="J702" s="30"/>
      <c r="K702" s="22" t="str">
        <f>+CONCATENATE(Tablo1710612131618202224[[#This Row],[DOSYA NO]],"_",Tablo1710612131618202224[[#This Row],[MÜŞTERİ ADI]],$P$10,"_",Tablo1710612131618202224[[#This Row],[İŞİN ADI]],"_",Tablo1710612131618202224[[#This Row],[İŞİN TÜRÜ]])</f>
        <v>___</v>
      </c>
    </row>
    <row r="703" spans="1:11" s="22" customFormat="1" ht="24.95" customHeight="1" x14ac:dyDescent="0.25">
      <c r="A703" s="21"/>
      <c r="F703" s="1"/>
      <c r="G703" s="26"/>
      <c r="H703" s="18"/>
      <c r="I703" s="18"/>
      <c r="J703" s="30"/>
      <c r="K703" s="22" t="str">
        <f>+CONCATENATE(Tablo1710612131618202224[[#This Row],[DOSYA NO]],"_",Tablo1710612131618202224[[#This Row],[MÜŞTERİ ADI]],$P$10,"_",Tablo1710612131618202224[[#This Row],[İŞİN ADI]],"_",Tablo1710612131618202224[[#This Row],[İŞİN TÜRÜ]])</f>
        <v>___</v>
      </c>
    </row>
    <row r="704" spans="1:11" s="22" customFormat="1" ht="24.95" customHeight="1" x14ac:dyDescent="0.25">
      <c r="A704" s="21"/>
      <c r="F704" s="1"/>
      <c r="G704" s="26"/>
      <c r="H704" s="18"/>
      <c r="I704" s="18"/>
      <c r="J704" s="30"/>
      <c r="K704" s="22" t="str">
        <f>+CONCATENATE(Tablo1710612131618202224[[#This Row],[DOSYA NO]],"_",Tablo1710612131618202224[[#This Row],[MÜŞTERİ ADI]],$P$10,"_",Tablo1710612131618202224[[#This Row],[İŞİN ADI]],"_",Tablo1710612131618202224[[#This Row],[İŞİN TÜRÜ]])</f>
        <v>___</v>
      </c>
    </row>
    <row r="705" spans="1:11" s="22" customFormat="1" ht="24.95" customHeight="1" x14ac:dyDescent="0.25">
      <c r="A705" s="21"/>
      <c r="F705" s="1"/>
      <c r="G705" s="26"/>
      <c r="H705" s="18"/>
      <c r="I705" s="18"/>
      <c r="J705" s="30"/>
      <c r="K705" s="22" t="str">
        <f>+CONCATENATE(Tablo1710612131618202224[[#This Row],[DOSYA NO]],"_",Tablo1710612131618202224[[#This Row],[MÜŞTERİ ADI]],$P$10,"_",Tablo1710612131618202224[[#This Row],[İŞİN ADI]],"_",Tablo1710612131618202224[[#This Row],[İŞİN TÜRÜ]])</f>
        <v>___</v>
      </c>
    </row>
    <row r="706" spans="1:11" s="22" customFormat="1" ht="24.95" customHeight="1" x14ac:dyDescent="0.25">
      <c r="A706" s="21"/>
      <c r="F706" s="1"/>
      <c r="G706" s="26"/>
      <c r="H706" s="18"/>
      <c r="I706" s="18"/>
      <c r="J706" s="30"/>
      <c r="K706" s="22" t="str">
        <f>+CONCATENATE(Tablo1710612131618202224[[#This Row],[DOSYA NO]],"_",Tablo1710612131618202224[[#This Row],[MÜŞTERİ ADI]],$P$10,"_",Tablo1710612131618202224[[#This Row],[İŞİN ADI]],"_",Tablo1710612131618202224[[#This Row],[İŞİN TÜRÜ]])</f>
        <v>___</v>
      </c>
    </row>
    <row r="707" spans="1:11" s="22" customFormat="1" ht="24.95" customHeight="1" x14ac:dyDescent="0.25">
      <c r="A707" s="21"/>
      <c r="F707" s="1"/>
      <c r="G707" s="26"/>
      <c r="H707" s="18"/>
      <c r="I707" s="18"/>
      <c r="J707" s="30"/>
      <c r="K707" s="22" t="str">
        <f>+CONCATENATE(Tablo1710612131618202224[[#This Row],[DOSYA NO]],"_",Tablo1710612131618202224[[#This Row],[MÜŞTERİ ADI]],$P$10,"_",Tablo1710612131618202224[[#This Row],[İŞİN ADI]],"_",Tablo1710612131618202224[[#This Row],[İŞİN TÜRÜ]])</f>
        <v>___</v>
      </c>
    </row>
    <row r="708" spans="1:11" s="22" customFormat="1" ht="24.95" customHeight="1" x14ac:dyDescent="0.25">
      <c r="A708" s="21"/>
      <c r="F708" s="1"/>
      <c r="G708" s="26"/>
      <c r="H708" s="18"/>
      <c r="I708" s="18"/>
      <c r="J708" s="30"/>
      <c r="K708" s="22" t="str">
        <f>+CONCATENATE(Tablo1710612131618202224[[#This Row],[DOSYA NO]],"_",Tablo1710612131618202224[[#This Row],[MÜŞTERİ ADI]],$P$10,"_",Tablo1710612131618202224[[#This Row],[İŞİN ADI]],"_",Tablo1710612131618202224[[#This Row],[İŞİN TÜRÜ]])</f>
        <v>___</v>
      </c>
    </row>
    <row r="709" spans="1:11" s="22" customFormat="1" ht="24.95" customHeight="1" x14ac:dyDescent="0.25">
      <c r="A709" s="21"/>
      <c r="F709" s="1"/>
      <c r="G709" s="26"/>
      <c r="H709" s="18"/>
      <c r="I709" s="18"/>
      <c r="J709" s="30"/>
      <c r="K709" s="22" t="str">
        <f>+CONCATENATE(Tablo1710612131618202224[[#This Row],[DOSYA NO]],"_",Tablo1710612131618202224[[#This Row],[MÜŞTERİ ADI]],$P$10,"_",Tablo1710612131618202224[[#This Row],[İŞİN ADI]],"_",Tablo1710612131618202224[[#This Row],[İŞİN TÜRÜ]])</f>
        <v>___</v>
      </c>
    </row>
    <row r="710" spans="1:11" s="22" customFormat="1" ht="24.95" customHeight="1" x14ac:dyDescent="0.25">
      <c r="A710" s="21"/>
      <c r="F710" s="1"/>
      <c r="G710" s="26"/>
      <c r="H710" s="18"/>
      <c r="I710" s="18"/>
      <c r="J710" s="30"/>
      <c r="K710" s="22" t="str">
        <f>+CONCATENATE(Tablo1710612131618202224[[#This Row],[DOSYA NO]],"_",Tablo1710612131618202224[[#This Row],[MÜŞTERİ ADI]],$P$10,"_",Tablo1710612131618202224[[#This Row],[İŞİN ADI]],"_",Tablo1710612131618202224[[#This Row],[İŞİN TÜRÜ]])</f>
        <v>___</v>
      </c>
    </row>
    <row r="711" spans="1:11" s="22" customFormat="1" ht="24.95" customHeight="1" x14ac:dyDescent="0.25">
      <c r="A711" s="21"/>
      <c r="F711" s="1"/>
      <c r="G711" s="26"/>
      <c r="H711" s="18"/>
      <c r="I711" s="18"/>
      <c r="J711" s="30"/>
      <c r="K711" s="22" t="str">
        <f>+CONCATENATE(Tablo1710612131618202224[[#This Row],[DOSYA NO]],"_",Tablo1710612131618202224[[#This Row],[MÜŞTERİ ADI]],$P$10,"_",Tablo1710612131618202224[[#This Row],[İŞİN ADI]],"_",Tablo1710612131618202224[[#This Row],[İŞİN TÜRÜ]])</f>
        <v>___</v>
      </c>
    </row>
    <row r="712" spans="1:11" s="22" customFormat="1" ht="24.95" customHeight="1" x14ac:dyDescent="0.25">
      <c r="A712" s="21"/>
      <c r="F712" s="1"/>
      <c r="G712" s="26"/>
      <c r="H712" s="18"/>
      <c r="I712" s="18"/>
      <c r="J712" s="30"/>
      <c r="K712" s="22" t="str">
        <f>+CONCATENATE(Tablo1710612131618202224[[#This Row],[DOSYA NO]],"_",Tablo1710612131618202224[[#This Row],[MÜŞTERİ ADI]],$P$10,"_",Tablo1710612131618202224[[#This Row],[İŞİN ADI]],"_",Tablo1710612131618202224[[#This Row],[İŞİN TÜRÜ]])</f>
        <v>___</v>
      </c>
    </row>
    <row r="713" spans="1:11" s="22" customFormat="1" ht="24.95" customHeight="1" x14ac:dyDescent="0.25">
      <c r="A713" s="21"/>
      <c r="F713" s="1"/>
      <c r="G713" s="26"/>
      <c r="H713" s="18"/>
      <c r="I713" s="18"/>
      <c r="J713" s="30"/>
      <c r="K713" s="22" t="str">
        <f>+CONCATENATE(Tablo1710612131618202224[[#This Row],[DOSYA NO]],"_",Tablo1710612131618202224[[#This Row],[MÜŞTERİ ADI]],$P$10,"_",Tablo1710612131618202224[[#This Row],[İŞİN ADI]],"_",Tablo1710612131618202224[[#This Row],[İŞİN TÜRÜ]])</f>
        <v>___</v>
      </c>
    </row>
    <row r="714" spans="1:11" s="22" customFormat="1" ht="24.95" customHeight="1" x14ac:dyDescent="0.25">
      <c r="A714" s="21"/>
      <c r="F714" s="1"/>
      <c r="G714" s="26"/>
      <c r="H714" s="18"/>
      <c r="I714" s="18"/>
      <c r="J714" s="30"/>
      <c r="K714" s="22" t="str">
        <f>+CONCATENATE(Tablo1710612131618202224[[#This Row],[DOSYA NO]],"_",Tablo1710612131618202224[[#This Row],[MÜŞTERİ ADI]],$P$10,"_",Tablo1710612131618202224[[#This Row],[İŞİN ADI]],"_",Tablo1710612131618202224[[#This Row],[İŞİN TÜRÜ]])</f>
        <v>___</v>
      </c>
    </row>
    <row r="715" spans="1:11" s="22" customFormat="1" ht="24.95" customHeight="1" x14ac:dyDescent="0.25">
      <c r="A715" s="21"/>
      <c r="F715" s="1"/>
      <c r="G715" s="26"/>
      <c r="H715" s="18"/>
      <c r="I715" s="18"/>
      <c r="J715" s="30"/>
      <c r="K715" s="22" t="str">
        <f>+CONCATENATE(Tablo1710612131618202224[[#This Row],[DOSYA NO]],"_",Tablo1710612131618202224[[#This Row],[MÜŞTERİ ADI]],$P$10,"_",Tablo1710612131618202224[[#This Row],[İŞİN ADI]],"_",Tablo1710612131618202224[[#This Row],[İŞİN TÜRÜ]])</f>
        <v>___</v>
      </c>
    </row>
    <row r="716" spans="1:11" s="22" customFormat="1" ht="24.95" customHeight="1" x14ac:dyDescent="0.25">
      <c r="A716" s="21"/>
      <c r="F716" s="1"/>
      <c r="G716" s="26"/>
      <c r="H716" s="18"/>
      <c r="I716" s="18"/>
      <c r="J716" s="30"/>
      <c r="K716" s="22" t="str">
        <f>+CONCATENATE(Tablo1710612131618202224[[#This Row],[DOSYA NO]],"_",Tablo1710612131618202224[[#This Row],[MÜŞTERİ ADI]],$P$10,"_",Tablo1710612131618202224[[#This Row],[İŞİN ADI]],"_",Tablo1710612131618202224[[#This Row],[İŞİN TÜRÜ]])</f>
        <v>___</v>
      </c>
    </row>
    <row r="717" spans="1:11" s="22" customFormat="1" ht="24.95" customHeight="1" x14ac:dyDescent="0.25">
      <c r="A717" s="21"/>
      <c r="F717" s="1"/>
      <c r="G717" s="26"/>
      <c r="H717" s="18"/>
      <c r="I717" s="18"/>
      <c r="J717" s="30"/>
      <c r="K717" s="22" t="str">
        <f>+CONCATENATE(Tablo1710612131618202224[[#This Row],[DOSYA NO]],"_",Tablo1710612131618202224[[#This Row],[MÜŞTERİ ADI]],$P$10,"_",Tablo1710612131618202224[[#This Row],[İŞİN ADI]],"_",Tablo1710612131618202224[[#This Row],[İŞİN TÜRÜ]])</f>
        <v>___</v>
      </c>
    </row>
    <row r="718" spans="1:11" s="22" customFormat="1" ht="24.95" customHeight="1" x14ac:dyDescent="0.25">
      <c r="A718" s="21"/>
      <c r="F718" s="1"/>
      <c r="G718" s="26"/>
      <c r="H718" s="18"/>
      <c r="I718" s="18"/>
      <c r="J718" s="30"/>
      <c r="K718" s="22" t="str">
        <f>+CONCATENATE(Tablo1710612131618202224[[#This Row],[DOSYA NO]],"_",Tablo1710612131618202224[[#This Row],[MÜŞTERİ ADI]],$P$10,"_",Tablo1710612131618202224[[#This Row],[İŞİN ADI]],"_",Tablo1710612131618202224[[#This Row],[İŞİN TÜRÜ]])</f>
        <v>___</v>
      </c>
    </row>
    <row r="719" spans="1:11" s="22" customFormat="1" ht="24.95" customHeight="1" x14ac:dyDescent="0.25">
      <c r="A719" s="21"/>
      <c r="F719" s="1"/>
      <c r="G719" s="26"/>
      <c r="H719" s="18"/>
      <c r="I719" s="18"/>
      <c r="J719" s="30"/>
      <c r="K719" s="22" t="str">
        <f>+CONCATENATE(Tablo1710612131618202224[[#This Row],[DOSYA NO]],"_",Tablo1710612131618202224[[#This Row],[MÜŞTERİ ADI]],$P$10,"_",Tablo1710612131618202224[[#This Row],[İŞİN ADI]],"_",Tablo1710612131618202224[[#This Row],[İŞİN TÜRÜ]])</f>
        <v>___</v>
      </c>
    </row>
    <row r="720" spans="1:11" s="22" customFormat="1" ht="24.95" customHeight="1" x14ac:dyDescent="0.25">
      <c r="A720" s="21"/>
      <c r="F720" s="1"/>
      <c r="G720" s="26"/>
      <c r="H720" s="18"/>
      <c r="I720" s="18"/>
      <c r="J720" s="30"/>
      <c r="K720" s="22" t="str">
        <f>+CONCATENATE(Tablo1710612131618202224[[#This Row],[DOSYA NO]],"_",Tablo1710612131618202224[[#This Row],[MÜŞTERİ ADI]],$P$10,"_",Tablo1710612131618202224[[#This Row],[İŞİN ADI]],"_",Tablo1710612131618202224[[#This Row],[İŞİN TÜRÜ]])</f>
        <v>___</v>
      </c>
    </row>
    <row r="721" spans="1:11" s="22" customFormat="1" ht="24.95" customHeight="1" x14ac:dyDescent="0.25">
      <c r="A721" s="21"/>
      <c r="F721" s="1"/>
      <c r="G721" s="26"/>
      <c r="H721" s="18"/>
      <c r="I721" s="18"/>
      <c r="J721" s="30"/>
      <c r="K721" s="22" t="str">
        <f>+CONCATENATE(Tablo1710612131618202224[[#This Row],[DOSYA NO]],"_",Tablo1710612131618202224[[#This Row],[MÜŞTERİ ADI]],$P$10,"_",Tablo1710612131618202224[[#This Row],[İŞİN ADI]],"_",Tablo1710612131618202224[[#This Row],[İŞİN TÜRÜ]])</f>
        <v>___</v>
      </c>
    </row>
    <row r="722" spans="1:11" s="22" customFormat="1" ht="24.95" customHeight="1" x14ac:dyDescent="0.25">
      <c r="A722" s="21"/>
      <c r="F722" s="1"/>
      <c r="G722" s="26"/>
      <c r="H722" s="18"/>
      <c r="I722" s="18"/>
      <c r="J722" s="30"/>
      <c r="K722" s="22" t="str">
        <f>+CONCATENATE(Tablo1710612131618202224[[#This Row],[DOSYA NO]],"_",Tablo1710612131618202224[[#This Row],[MÜŞTERİ ADI]],$P$10,"_",Tablo1710612131618202224[[#This Row],[İŞİN ADI]],"_",Tablo1710612131618202224[[#This Row],[İŞİN TÜRÜ]])</f>
        <v>___</v>
      </c>
    </row>
    <row r="723" spans="1:11" s="22" customFormat="1" ht="24.95" customHeight="1" x14ac:dyDescent="0.25">
      <c r="A723" s="21"/>
      <c r="F723" s="1"/>
      <c r="G723" s="26"/>
      <c r="H723" s="18"/>
      <c r="I723" s="18"/>
      <c r="J723" s="30"/>
      <c r="K723" s="22" t="str">
        <f>+CONCATENATE(Tablo1710612131618202224[[#This Row],[DOSYA NO]],"_",Tablo1710612131618202224[[#This Row],[MÜŞTERİ ADI]],$P$10,"_",Tablo1710612131618202224[[#This Row],[İŞİN ADI]],"_",Tablo1710612131618202224[[#This Row],[İŞİN TÜRÜ]])</f>
        <v>___</v>
      </c>
    </row>
    <row r="724" spans="1:11" s="22" customFormat="1" ht="24.95" customHeight="1" x14ac:dyDescent="0.25">
      <c r="A724" s="21"/>
      <c r="F724" s="1"/>
      <c r="G724" s="26"/>
      <c r="H724" s="18"/>
      <c r="I724" s="18"/>
      <c r="J724" s="30"/>
      <c r="K724" s="22" t="str">
        <f>+CONCATENATE(Tablo1710612131618202224[[#This Row],[DOSYA NO]],"_",Tablo1710612131618202224[[#This Row],[MÜŞTERİ ADI]],$P$10,"_",Tablo1710612131618202224[[#This Row],[İŞİN ADI]],"_",Tablo1710612131618202224[[#This Row],[İŞİN TÜRÜ]])</f>
        <v>___</v>
      </c>
    </row>
    <row r="725" spans="1:11" s="22" customFormat="1" ht="24.95" customHeight="1" x14ac:dyDescent="0.25">
      <c r="A725" s="21"/>
      <c r="F725" s="1"/>
      <c r="G725" s="26"/>
      <c r="H725" s="18"/>
      <c r="I725" s="18"/>
      <c r="J725" s="30"/>
      <c r="K725" s="22" t="str">
        <f>+CONCATENATE(Tablo1710612131618202224[[#This Row],[DOSYA NO]],"_",Tablo1710612131618202224[[#This Row],[MÜŞTERİ ADI]],$P$10,"_",Tablo1710612131618202224[[#This Row],[İŞİN ADI]],"_",Tablo1710612131618202224[[#This Row],[İŞİN TÜRÜ]])</f>
        <v>___</v>
      </c>
    </row>
    <row r="726" spans="1:11" s="22" customFormat="1" ht="24.95" customHeight="1" x14ac:dyDescent="0.25">
      <c r="A726" s="21"/>
      <c r="F726" s="1"/>
      <c r="G726" s="26"/>
      <c r="H726" s="18"/>
      <c r="I726" s="18"/>
      <c r="J726" s="30"/>
      <c r="K726" s="22" t="str">
        <f>+CONCATENATE(Tablo1710612131618202224[[#This Row],[DOSYA NO]],"_",Tablo1710612131618202224[[#This Row],[MÜŞTERİ ADI]],$P$10,"_",Tablo1710612131618202224[[#This Row],[İŞİN ADI]],"_",Tablo1710612131618202224[[#This Row],[İŞİN TÜRÜ]])</f>
        <v>___</v>
      </c>
    </row>
    <row r="727" spans="1:11" s="22" customFormat="1" ht="24.95" customHeight="1" x14ac:dyDescent="0.25">
      <c r="A727" s="21"/>
      <c r="F727" s="1"/>
      <c r="G727" s="26"/>
      <c r="H727" s="18"/>
      <c r="I727" s="18"/>
      <c r="J727" s="30"/>
      <c r="K727" s="22" t="str">
        <f>+CONCATENATE(Tablo1710612131618202224[[#This Row],[DOSYA NO]],"_",Tablo1710612131618202224[[#This Row],[MÜŞTERİ ADI]],$P$10,"_",Tablo1710612131618202224[[#This Row],[İŞİN ADI]],"_",Tablo1710612131618202224[[#This Row],[İŞİN TÜRÜ]])</f>
        <v>___</v>
      </c>
    </row>
    <row r="728" spans="1:11" s="22" customFormat="1" ht="24.95" customHeight="1" x14ac:dyDescent="0.25">
      <c r="A728" s="21"/>
      <c r="F728" s="1"/>
      <c r="G728" s="26"/>
      <c r="H728" s="18"/>
      <c r="I728" s="18"/>
      <c r="J728" s="30"/>
      <c r="K728" s="22" t="str">
        <f>+CONCATENATE(Tablo1710612131618202224[[#This Row],[DOSYA NO]],"_",Tablo1710612131618202224[[#This Row],[MÜŞTERİ ADI]],$P$10,"_",Tablo1710612131618202224[[#This Row],[İŞİN ADI]],"_",Tablo1710612131618202224[[#This Row],[İŞİN TÜRÜ]])</f>
        <v>___</v>
      </c>
    </row>
    <row r="729" spans="1:11" s="22" customFormat="1" ht="24.95" customHeight="1" x14ac:dyDescent="0.25">
      <c r="A729" s="21"/>
      <c r="F729" s="1"/>
      <c r="G729" s="26"/>
      <c r="H729" s="18"/>
      <c r="I729" s="18"/>
      <c r="J729" s="30"/>
      <c r="K729" s="22" t="str">
        <f>+CONCATENATE(Tablo1710612131618202224[[#This Row],[DOSYA NO]],"_",Tablo1710612131618202224[[#This Row],[MÜŞTERİ ADI]],$P$10,"_",Tablo1710612131618202224[[#This Row],[İŞİN ADI]],"_",Tablo1710612131618202224[[#This Row],[İŞİN TÜRÜ]])</f>
        <v>___</v>
      </c>
    </row>
    <row r="730" spans="1:11" s="22" customFormat="1" ht="24.95" customHeight="1" x14ac:dyDescent="0.25">
      <c r="A730" s="21"/>
      <c r="F730" s="1"/>
      <c r="G730" s="26"/>
      <c r="H730" s="18"/>
      <c r="I730" s="18"/>
      <c r="J730" s="30"/>
      <c r="K730" s="22" t="str">
        <f>+CONCATENATE(Tablo1710612131618202224[[#This Row],[DOSYA NO]],"_",Tablo1710612131618202224[[#This Row],[MÜŞTERİ ADI]],$P$10,"_",Tablo1710612131618202224[[#This Row],[İŞİN ADI]],"_",Tablo1710612131618202224[[#This Row],[İŞİN TÜRÜ]])</f>
        <v>___</v>
      </c>
    </row>
    <row r="731" spans="1:11" s="22" customFormat="1" ht="24.95" customHeight="1" x14ac:dyDescent="0.25">
      <c r="A731" s="21"/>
      <c r="F731" s="1"/>
      <c r="G731" s="26"/>
      <c r="H731" s="18"/>
      <c r="I731" s="18"/>
      <c r="J731" s="30"/>
      <c r="K731" s="22" t="str">
        <f>+CONCATENATE(Tablo1710612131618202224[[#This Row],[DOSYA NO]],"_",Tablo1710612131618202224[[#This Row],[MÜŞTERİ ADI]],$P$10,"_",Tablo1710612131618202224[[#This Row],[İŞİN ADI]],"_",Tablo1710612131618202224[[#This Row],[İŞİN TÜRÜ]])</f>
        <v>___</v>
      </c>
    </row>
    <row r="732" spans="1:11" s="22" customFormat="1" ht="24.95" customHeight="1" x14ac:dyDescent="0.25">
      <c r="A732" s="21"/>
      <c r="F732" s="1"/>
      <c r="G732" s="26"/>
      <c r="H732" s="18"/>
      <c r="I732" s="18"/>
      <c r="J732" s="30"/>
      <c r="K732" s="22" t="str">
        <f>+CONCATENATE(Tablo1710612131618202224[[#This Row],[DOSYA NO]],"_",Tablo1710612131618202224[[#This Row],[MÜŞTERİ ADI]],$P$10,"_",Tablo1710612131618202224[[#This Row],[İŞİN ADI]],"_",Tablo1710612131618202224[[#This Row],[İŞİN TÜRÜ]])</f>
        <v>___</v>
      </c>
    </row>
    <row r="733" spans="1:11" s="22" customFormat="1" ht="24.95" customHeight="1" x14ac:dyDescent="0.25">
      <c r="A733" s="21"/>
      <c r="F733" s="1"/>
      <c r="G733" s="26"/>
      <c r="H733" s="18"/>
      <c r="I733" s="18"/>
      <c r="J733" s="30"/>
      <c r="K733" s="22" t="str">
        <f>+CONCATENATE(Tablo1710612131618202224[[#This Row],[DOSYA NO]],"_",Tablo1710612131618202224[[#This Row],[MÜŞTERİ ADI]],$P$10,"_",Tablo1710612131618202224[[#This Row],[İŞİN ADI]],"_",Tablo1710612131618202224[[#This Row],[İŞİN TÜRÜ]])</f>
        <v>___</v>
      </c>
    </row>
    <row r="734" spans="1:11" s="22" customFormat="1" ht="24.95" customHeight="1" x14ac:dyDescent="0.25">
      <c r="A734" s="21"/>
      <c r="F734" s="1"/>
      <c r="G734" s="26"/>
      <c r="H734" s="18"/>
      <c r="I734" s="18"/>
      <c r="J734" s="30"/>
      <c r="K734" s="22" t="str">
        <f>+CONCATENATE(Tablo1710612131618202224[[#This Row],[DOSYA NO]],"_",Tablo1710612131618202224[[#This Row],[MÜŞTERİ ADI]],$P$10,"_",Tablo1710612131618202224[[#This Row],[İŞİN ADI]],"_",Tablo1710612131618202224[[#This Row],[İŞİN TÜRÜ]])</f>
        <v>___</v>
      </c>
    </row>
    <row r="735" spans="1:11" s="22" customFormat="1" ht="24.95" customHeight="1" x14ac:dyDescent="0.25">
      <c r="A735" s="21"/>
      <c r="F735" s="1"/>
      <c r="G735" s="26"/>
      <c r="H735" s="18"/>
      <c r="I735" s="18"/>
      <c r="J735" s="30"/>
      <c r="K735" s="22" t="str">
        <f>+CONCATENATE(Tablo1710612131618202224[[#This Row],[DOSYA NO]],"_",Tablo1710612131618202224[[#This Row],[MÜŞTERİ ADI]],$P$10,"_",Tablo1710612131618202224[[#This Row],[İŞİN ADI]],"_",Tablo1710612131618202224[[#This Row],[İŞİN TÜRÜ]])</f>
        <v>___</v>
      </c>
    </row>
    <row r="736" spans="1:11" s="22" customFormat="1" ht="24.95" customHeight="1" x14ac:dyDescent="0.25">
      <c r="A736" s="21"/>
      <c r="F736" s="1"/>
      <c r="G736" s="26"/>
      <c r="H736" s="18"/>
      <c r="I736" s="18"/>
      <c r="J736" s="30"/>
      <c r="K736" s="22" t="str">
        <f>+CONCATENATE(Tablo1710612131618202224[[#This Row],[DOSYA NO]],"_",Tablo1710612131618202224[[#This Row],[MÜŞTERİ ADI]],$P$10,"_",Tablo1710612131618202224[[#This Row],[İŞİN ADI]],"_",Tablo1710612131618202224[[#This Row],[İŞİN TÜRÜ]])</f>
        <v>___</v>
      </c>
    </row>
    <row r="737" spans="1:11" s="22" customFormat="1" ht="24.95" customHeight="1" x14ac:dyDescent="0.25">
      <c r="A737" s="21"/>
      <c r="F737" s="1"/>
      <c r="G737" s="26"/>
      <c r="H737" s="18"/>
      <c r="I737" s="18"/>
      <c r="J737" s="30"/>
      <c r="K737" s="22" t="str">
        <f>+CONCATENATE(Tablo1710612131618202224[[#This Row],[DOSYA NO]],"_",Tablo1710612131618202224[[#This Row],[MÜŞTERİ ADI]],$P$10,"_",Tablo1710612131618202224[[#This Row],[İŞİN ADI]],"_",Tablo1710612131618202224[[#This Row],[İŞİN TÜRÜ]])</f>
        <v>___</v>
      </c>
    </row>
    <row r="738" spans="1:11" s="22" customFormat="1" ht="24.95" customHeight="1" x14ac:dyDescent="0.25">
      <c r="A738" s="21"/>
      <c r="F738" s="1"/>
      <c r="G738" s="26"/>
      <c r="H738" s="18"/>
      <c r="I738" s="18"/>
      <c r="J738" s="30"/>
      <c r="K738" s="22" t="str">
        <f>+CONCATENATE(Tablo1710612131618202224[[#This Row],[DOSYA NO]],"_",Tablo1710612131618202224[[#This Row],[MÜŞTERİ ADI]],$P$10,"_",Tablo1710612131618202224[[#This Row],[İŞİN ADI]],"_",Tablo1710612131618202224[[#This Row],[İŞİN TÜRÜ]])</f>
        <v>___</v>
      </c>
    </row>
    <row r="739" spans="1:11" s="22" customFormat="1" ht="24.95" customHeight="1" x14ac:dyDescent="0.25">
      <c r="A739" s="21"/>
      <c r="F739" s="1"/>
      <c r="G739" s="26"/>
      <c r="H739" s="18"/>
      <c r="I739" s="18"/>
      <c r="J739" s="30"/>
      <c r="K739" s="22" t="str">
        <f>+CONCATENATE(Tablo1710612131618202224[[#This Row],[DOSYA NO]],"_",Tablo1710612131618202224[[#This Row],[MÜŞTERİ ADI]],$P$10,"_",Tablo1710612131618202224[[#This Row],[İŞİN ADI]],"_",Tablo1710612131618202224[[#This Row],[İŞİN TÜRÜ]])</f>
        <v>___</v>
      </c>
    </row>
    <row r="740" spans="1:11" s="22" customFormat="1" ht="24.95" customHeight="1" x14ac:dyDescent="0.25">
      <c r="A740" s="21"/>
      <c r="F740" s="1"/>
      <c r="G740" s="26"/>
      <c r="H740" s="18"/>
      <c r="I740" s="18"/>
      <c r="J740" s="30"/>
      <c r="K740" s="22" t="str">
        <f>+CONCATENATE(Tablo1710612131618202224[[#This Row],[DOSYA NO]],"_",Tablo1710612131618202224[[#This Row],[MÜŞTERİ ADI]],$P$10,"_",Tablo1710612131618202224[[#This Row],[İŞİN ADI]],"_",Tablo1710612131618202224[[#This Row],[İŞİN TÜRÜ]])</f>
        <v>___</v>
      </c>
    </row>
    <row r="741" spans="1:11" s="22" customFormat="1" ht="24.95" customHeight="1" x14ac:dyDescent="0.25">
      <c r="A741" s="21"/>
      <c r="F741" s="1"/>
      <c r="G741" s="26"/>
      <c r="H741" s="18"/>
      <c r="I741" s="18"/>
      <c r="J741" s="30"/>
      <c r="K741" s="22" t="str">
        <f>+CONCATENATE(Tablo1710612131618202224[[#This Row],[DOSYA NO]],"_",Tablo1710612131618202224[[#This Row],[MÜŞTERİ ADI]],$P$10,"_",Tablo1710612131618202224[[#This Row],[İŞİN ADI]],"_",Tablo1710612131618202224[[#This Row],[İŞİN TÜRÜ]])</f>
        <v>___</v>
      </c>
    </row>
    <row r="742" spans="1:11" s="22" customFormat="1" ht="24.95" customHeight="1" x14ac:dyDescent="0.25">
      <c r="A742" s="21"/>
      <c r="F742" s="1"/>
      <c r="G742" s="26"/>
      <c r="H742" s="18"/>
      <c r="I742" s="18"/>
      <c r="J742" s="30"/>
      <c r="K742" s="22" t="str">
        <f>+CONCATENATE(Tablo1710612131618202224[[#This Row],[DOSYA NO]],"_",Tablo1710612131618202224[[#This Row],[MÜŞTERİ ADI]],$P$10,"_",Tablo1710612131618202224[[#This Row],[İŞİN ADI]],"_",Tablo1710612131618202224[[#This Row],[İŞİN TÜRÜ]])</f>
        <v>___</v>
      </c>
    </row>
    <row r="743" spans="1:11" s="22" customFormat="1" ht="24.95" customHeight="1" x14ac:dyDescent="0.25">
      <c r="A743" s="21"/>
      <c r="F743" s="1"/>
      <c r="G743" s="26"/>
      <c r="H743" s="18"/>
      <c r="I743" s="18"/>
      <c r="J743" s="30"/>
      <c r="K743" s="22" t="str">
        <f>+CONCATENATE(Tablo1710612131618202224[[#This Row],[DOSYA NO]],"_",Tablo1710612131618202224[[#This Row],[MÜŞTERİ ADI]],$P$10,"_",Tablo1710612131618202224[[#This Row],[İŞİN ADI]],"_",Tablo1710612131618202224[[#This Row],[İŞİN TÜRÜ]])</f>
        <v>___</v>
      </c>
    </row>
    <row r="744" spans="1:11" s="22" customFormat="1" ht="24.95" customHeight="1" x14ac:dyDescent="0.25">
      <c r="A744" s="21"/>
      <c r="F744" s="1"/>
      <c r="G744" s="26"/>
      <c r="H744" s="18"/>
      <c r="I744" s="18"/>
      <c r="J744" s="30"/>
      <c r="K744" s="22" t="str">
        <f>+CONCATENATE(Tablo1710612131618202224[[#This Row],[DOSYA NO]],"_",Tablo1710612131618202224[[#This Row],[MÜŞTERİ ADI]],$P$10,"_",Tablo1710612131618202224[[#This Row],[İŞİN ADI]],"_",Tablo1710612131618202224[[#This Row],[İŞİN TÜRÜ]])</f>
        <v>___</v>
      </c>
    </row>
    <row r="745" spans="1:11" s="22" customFormat="1" ht="24.95" customHeight="1" x14ac:dyDescent="0.25">
      <c r="A745" s="21"/>
      <c r="F745" s="1"/>
      <c r="G745" s="26"/>
      <c r="H745" s="18"/>
      <c r="I745" s="18"/>
      <c r="J745" s="30"/>
      <c r="K745" s="22" t="str">
        <f>+CONCATENATE(Tablo1710612131618202224[[#This Row],[DOSYA NO]],"_",Tablo1710612131618202224[[#This Row],[MÜŞTERİ ADI]],$P$10,"_",Tablo1710612131618202224[[#This Row],[İŞİN ADI]],"_",Tablo1710612131618202224[[#This Row],[İŞİN TÜRÜ]])</f>
        <v>___</v>
      </c>
    </row>
    <row r="746" spans="1:11" s="22" customFormat="1" ht="24.95" customHeight="1" x14ac:dyDescent="0.25">
      <c r="A746" s="21"/>
      <c r="F746" s="1"/>
      <c r="G746" s="26"/>
      <c r="H746" s="18"/>
      <c r="I746" s="18"/>
      <c r="J746" s="30"/>
      <c r="K746" s="22" t="str">
        <f>+CONCATENATE(Tablo1710612131618202224[[#This Row],[DOSYA NO]],"_",Tablo1710612131618202224[[#This Row],[MÜŞTERİ ADI]],$P$10,"_",Tablo1710612131618202224[[#This Row],[İŞİN ADI]],"_",Tablo1710612131618202224[[#This Row],[İŞİN TÜRÜ]])</f>
        <v>___</v>
      </c>
    </row>
    <row r="747" spans="1:11" s="22" customFormat="1" ht="24.95" customHeight="1" x14ac:dyDescent="0.25">
      <c r="A747" s="21"/>
      <c r="F747" s="1"/>
      <c r="G747" s="26"/>
      <c r="H747" s="18"/>
      <c r="I747" s="18"/>
      <c r="J747" s="30"/>
      <c r="K747" s="22" t="str">
        <f>+CONCATENATE(Tablo1710612131618202224[[#This Row],[DOSYA NO]],"_",Tablo1710612131618202224[[#This Row],[MÜŞTERİ ADI]],$P$10,"_",Tablo1710612131618202224[[#This Row],[İŞİN ADI]],"_",Tablo1710612131618202224[[#This Row],[İŞİN TÜRÜ]])</f>
        <v>___</v>
      </c>
    </row>
    <row r="748" spans="1:11" s="22" customFormat="1" ht="24.95" customHeight="1" x14ac:dyDescent="0.25">
      <c r="A748" s="21"/>
      <c r="F748" s="1"/>
      <c r="G748" s="26"/>
      <c r="H748" s="18"/>
      <c r="I748" s="18"/>
      <c r="J748" s="30"/>
      <c r="K748" s="22" t="str">
        <f>+CONCATENATE(Tablo1710612131618202224[[#This Row],[DOSYA NO]],"_",Tablo1710612131618202224[[#This Row],[MÜŞTERİ ADI]],$P$10,"_",Tablo1710612131618202224[[#This Row],[İŞİN ADI]],"_",Tablo1710612131618202224[[#This Row],[İŞİN TÜRÜ]])</f>
        <v>___</v>
      </c>
    </row>
    <row r="749" spans="1:11" s="22" customFormat="1" ht="24.95" customHeight="1" x14ac:dyDescent="0.25">
      <c r="A749" s="21"/>
      <c r="F749" s="1"/>
      <c r="G749" s="26"/>
      <c r="H749" s="18"/>
      <c r="I749" s="18"/>
      <c r="J749" s="30"/>
      <c r="K749" s="22" t="str">
        <f>+CONCATENATE(Tablo1710612131618202224[[#This Row],[DOSYA NO]],"_",Tablo1710612131618202224[[#This Row],[MÜŞTERİ ADI]],$P$10,"_",Tablo1710612131618202224[[#This Row],[İŞİN ADI]],"_",Tablo1710612131618202224[[#This Row],[İŞİN TÜRÜ]])</f>
        <v>___</v>
      </c>
    </row>
    <row r="750" spans="1:11" s="22" customFormat="1" ht="24.95" customHeight="1" x14ac:dyDescent="0.25">
      <c r="A750" s="21"/>
      <c r="F750" s="1"/>
      <c r="G750" s="26"/>
      <c r="H750" s="18"/>
      <c r="I750" s="18"/>
      <c r="J750" s="30"/>
      <c r="K750" s="22" t="str">
        <f>+CONCATENATE(Tablo1710612131618202224[[#This Row],[DOSYA NO]],"_",Tablo1710612131618202224[[#This Row],[MÜŞTERİ ADI]],$P$10,"_",Tablo1710612131618202224[[#This Row],[İŞİN ADI]],"_",Tablo1710612131618202224[[#This Row],[İŞİN TÜRÜ]])</f>
        <v>___</v>
      </c>
    </row>
    <row r="751" spans="1:11" s="22" customFormat="1" ht="24.95" customHeight="1" x14ac:dyDescent="0.25">
      <c r="A751" s="21"/>
      <c r="F751" s="1"/>
      <c r="G751" s="26"/>
      <c r="H751" s="18"/>
      <c r="I751" s="18"/>
      <c r="J751" s="30"/>
      <c r="K751" s="22" t="str">
        <f>+CONCATENATE(Tablo1710612131618202224[[#This Row],[DOSYA NO]],"_",Tablo1710612131618202224[[#This Row],[MÜŞTERİ ADI]],$P$10,"_",Tablo1710612131618202224[[#This Row],[İŞİN ADI]],"_",Tablo1710612131618202224[[#This Row],[İŞİN TÜRÜ]])</f>
        <v>___</v>
      </c>
    </row>
    <row r="752" spans="1:11" s="22" customFormat="1" ht="24.95" customHeight="1" x14ac:dyDescent="0.25">
      <c r="A752" s="21"/>
      <c r="F752" s="1"/>
      <c r="G752" s="26"/>
      <c r="H752" s="18"/>
      <c r="I752" s="18"/>
      <c r="J752" s="30"/>
      <c r="K752" s="22" t="str">
        <f>+CONCATENATE(Tablo1710612131618202224[[#This Row],[DOSYA NO]],"_",Tablo1710612131618202224[[#This Row],[MÜŞTERİ ADI]],$P$10,"_",Tablo1710612131618202224[[#This Row],[İŞİN ADI]],"_",Tablo1710612131618202224[[#This Row],[İŞİN TÜRÜ]])</f>
        <v>___</v>
      </c>
    </row>
    <row r="753" spans="1:11" s="22" customFormat="1" ht="24.95" customHeight="1" x14ac:dyDescent="0.25">
      <c r="A753" s="21"/>
      <c r="F753" s="1"/>
      <c r="G753" s="26"/>
      <c r="H753" s="18"/>
      <c r="I753" s="18"/>
      <c r="J753" s="30"/>
      <c r="K753" s="22" t="str">
        <f>+CONCATENATE(Tablo1710612131618202224[[#This Row],[DOSYA NO]],"_",Tablo1710612131618202224[[#This Row],[MÜŞTERİ ADI]],$P$10,"_",Tablo1710612131618202224[[#This Row],[İŞİN ADI]],"_",Tablo1710612131618202224[[#This Row],[İŞİN TÜRÜ]])</f>
        <v>___</v>
      </c>
    </row>
    <row r="754" spans="1:11" s="22" customFormat="1" ht="24.95" customHeight="1" x14ac:dyDescent="0.25">
      <c r="A754" s="21"/>
      <c r="F754" s="1"/>
      <c r="G754" s="26"/>
      <c r="H754" s="18"/>
      <c r="I754" s="18"/>
      <c r="J754" s="30"/>
      <c r="K754" s="22" t="str">
        <f>+CONCATENATE(Tablo1710612131618202224[[#This Row],[DOSYA NO]],"_",Tablo1710612131618202224[[#This Row],[MÜŞTERİ ADI]],$P$10,"_",Tablo1710612131618202224[[#This Row],[İŞİN ADI]],"_",Tablo1710612131618202224[[#This Row],[İŞİN TÜRÜ]])</f>
        <v>___</v>
      </c>
    </row>
    <row r="755" spans="1:11" s="22" customFormat="1" ht="24.95" customHeight="1" x14ac:dyDescent="0.25">
      <c r="A755" s="21"/>
      <c r="F755" s="1"/>
      <c r="G755" s="26"/>
      <c r="H755" s="18"/>
      <c r="I755" s="18"/>
      <c r="J755" s="30"/>
      <c r="K755" s="22" t="str">
        <f>+CONCATENATE(Tablo1710612131618202224[[#This Row],[DOSYA NO]],"_",Tablo1710612131618202224[[#This Row],[MÜŞTERİ ADI]],$P$10,"_",Tablo1710612131618202224[[#This Row],[İŞİN ADI]],"_",Tablo1710612131618202224[[#This Row],[İŞİN TÜRÜ]])</f>
        <v>___</v>
      </c>
    </row>
    <row r="756" spans="1:11" s="22" customFormat="1" ht="24.95" customHeight="1" x14ac:dyDescent="0.25">
      <c r="A756" s="21"/>
      <c r="F756" s="1"/>
      <c r="G756" s="26"/>
      <c r="H756" s="18"/>
      <c r="I756" s="18"/>
      <c r="J756" s="30"/>
      <c r="K756" s="22" t="str">
        <f>+CONCATENATE(Tablo1710612131618202224[[#This Row],[DOSYA NO]],"_",Tablo1710612131618202224[[#This Row],[MÜŞTERİ ADI]],$P$10,"_",Tablo1710612131618202224[[#This Row],[İŞİN ADI]],"_",Tablo1710612131618202224[[#This Row],[İŞİN TÜRÜ]])</f>
        <v>___</v>
      </c>
    </row>
    <row r="757" spans="1:11" s="22" customFormat="1" ht="24.95" customHeight="1" x14ac:dyDescent="0.25">
      <c r="A757" s="21"/>
      <c r="F757" s="1"/>
      <c r="G757" s="26"/>
      <c r="H757" s="18"/>
      <c r="I757" s="18"/>
      <c r="J757" s="30"/>
      <c r="K757" s="22" t="str">
        <f>+CONCATENATE(Tablo1710612131618202224[[#This Row],[DOSYA NO]],"_",Tablo1710612131618202224[[#This Row],[MÜŞTERİ ADI]],$P$10,"_",Tablo1710612131618202224[[#This Row],[İŞİN ADI]],"_",Tablo1710612131618202224[[#This Row],[İŞİN TÜRÜ]])</f>
        <v>___</v>
      </c>
    </row>
    <row r="758" spans="1:11" s="22" customFormat="1" ht="24.95" customHeight="1" x14ac:dyDescent="0.25">
      <c r="A758" s="21"/>
      <c r="F758" s="1"/>
      <c r="G758" s="26"/>
      <c r="H758" s="18"/>
      <c r="I758" s="18"/>
      <c r="J758" s="30"/>
      <c r="K758" s="22" t="str">
        <f>+CONCATENATE(Tablo1710612131618202224[[#This Row],[DOSYA NO]],"_",Tablo1710612131618202224[[#This Row],[MÜŞTERİ ADI]],$P$10,"_",Tablo1710612131618202224[[#This Row],[İŞİN ADI]],"_",Tablo1710612131618202224[[#This Row],[İŞİN TÜRÜ]])</f>
        <v>___</v>
      </c>
    </row>
    <row r="759" spans="1:11" s="22" customFormat="1" ht="24.95" customHeight="1" x14ac:dyDescent="0.25">
      <c r="A759" s="21"/>
      <c r="F759" s="1"/>
      <c r="G759" s="26"/>
      <c r="H759" s="18"/>
      <c r="I759" s="18"/>
      <c r="J759" s="30"/>
      <c r="K759" s="22" t="str">
        <f>+CONCATENATE(Tablo1710612131618202224[[#This Row],[DOSYA NO]],"_",Tablo1710612131618202224[[#This Row],[MÜŞTERİ ADI]],$P$10,"_",Tablo1710612131618202224[[#This Row],[İŞİN ADI]],"_",Tablo1710612131618202224[[#This Row],[İŞİN TÜRÜ]])</f>
        <v>___</v>
      </c>
    </row>
    <row r="760" spans="1:11" s="22" customFormat="1" ht="24.95" customHeight="1" x14ac:dyDescent="0.25">
      <c r="A760" s="21"/>
      <c r="F760" s="1"/>
      <c r="G760" s="26"/>
      <c r="H760" s="18"/>
      <c r="I760" s="18"/>
      <c r="J760" s="30"/>
      <c r="K760" s="22" t="str">
        <f>+CONCATENATE(Tablo1710612131618202224[[#This Row],[DOSYA NO]],"_",Tablo1710612131618202224[[#This Row],[MÜŞTERİ ADI]],$P$10,"_",Tablo1710612131618202224[[#This Row],[İŞİN ADI]],"_",Tablo1710612131618202224[[#This Row],[İŞİN TÜRÜ]])</f>
        <v>___</v>
      </c>
    </row>
    <row r="761" spans="1:11" s="22" customFormat="1" ht="24.95" customHeight="1" x14ac:dyDescent="0.25">
      <c r="A761" s="21"/>
      <c r="F761" s="1"/>
      <c r="G761" s="26"/>
      <c r="H761" s="18"/>
      <c r="I761" s="18"/>
      <c r="J761" s="30"/>
      <c r="K761" s="22" t="str">
        <f>+CONCATENATE(Tablo1710612131618202224[[#This Row],[DOSYA NO]],"_",Tablo1710612131618202224[[#This Row],[MÜŞTERİ ADI]],$P$10,"_",Tablo1710612131618202224[[#This Row],[İŞİN ADI]],"_",Tablo1710612131618202224[[#This Row],[İŞİN TÜRÜ]])</f>
        <v>___</v>
      </c>
    </row>
    <row r="762" spans="1:11" s="22" customFormat="1" ht="24.95" customHeight="1" x14ac:dyDescent="0.25">
      <c r="A762" s="21"/>
      <c r="F762" s="1"/>
      <c r="G762" s="26"/>
      <c r="H762" s="18"/>
      <c r="I762" s="18"/>
      <c r="J762" s="30"/>
      <c r="K762" s="22" t="str">
        <f>+CONCATENATE(Tablo1710612131618202224[[#This Row],[DOSYA NO]],"_",Tablo1710612131618202224[[#This Row],[MÜŞTERİ ADI]],$P$10,"_",Tablo1710612131618202224[[#This Row],[İŞİN ADI]],"_",Tablo1710612131618202224[[#This Row],[İŞİN TÜRÜ]])</f>
        <v>___</v>
      </c>
    </row>
    <row r="763" spans="1:11" s="22" customFormat="1" ht="24.95" customHeight="1" x14ac:dyDescent="0.25">
      <c r="A763" s="21"/>
      <c r="F763" s="1"/>
      <c r="G763" s="26"/>
      <c r="H763" s="18"/>
      <c r="I763" s="18"/>
      <c r="J763" s="30"/>
      <c r="K763" s="22" t="str">
        <f>+CONCATENATE(Tablo1710612131618202224[[#This Row],[DOSYA NO]],"_",Tablo1710612131618202224[[#This Row],[MÜŞTERİ ADI]],$P$10,"_",Tablo1710612131618202224[[#This Row],[İŞİN ADI]],"_",Tablo1710612131618202224[[#This Row],[İŞİN TÜRÜ]])</f>
        <v>___</v>
      </c>
    </row>
    <row r="764" spans="1:11" s="22" customFormat="1" ht="24.95" customHeight="1" x14ac:dyDescent="0.25">
      <c r="A764" s="21"/>
      <c r="F764" s="1"/>
      <c r="G764" s="26"/>
      <c r="H764" s="18"/>
      <c r="I764" s="18"/>
      <c r="J764" s="30"/>
      <c r="K764" s="22" t="str">
        <f>+CONCATENATE(Tablo1710612131618202224[[#This Row],[DOSYA NO]],"_",Tablo1710612131618202224[[#This Row],[MÜŞTERİ ADI]],$P$10,"_",Tablo1710612131618202224[[#This Row],[İŞİN ADI]],"_",Tablo1710612131618202224[[#This Row],[İŞİN TÜRÜ]])</f>
        <v>___</v>
      </c>
    </row>
    <row r="765" spans="1:11" s="22" customFormat="1" ht="24.95" customHeight="1" x14ac:dyDescent="0.25">
      <c r="A765" s="21"/>
      <c r="F765" s="1"/>
      <c r="G765" s="26"/>
      <c r="H765" s="18"/>
      <c r="I765" s="18"/>
      <c r="J765" s="30"/>
      <c r="K765" s="22" t="str">
        <f>+CONCATENATE(Tablo1710612131618202224[[#This Row],[DOSYA NO]],"_",Tablo1710612131618202224[[#This Row],[MÜŞTERİ ADI]],$P$10,"_",Tablo1710612131618202224[[#This Row],[İŞİN ADI]],"_",Tablo1710612131618202224[[#This Row],[İŞİN TÜRÜ]])</f>
        <v>___</v>
      </c>
    </row>
    <row r="766" spans="1:11" s="22" customFormat="1" ht="24.95" customHeight="1" x14ac:dyDescent="0.25">
      <c r="A766" s="21"/>
      <c r="F766" s="1"/>
      <c r="G766" s="26"/>
      <c r="H766" s="18"/>
      <c r="I766" s="18"/>
      <c r="J766" s="30"/>
      <c r="K766" s="22" t="str">
        <f>+CONCATENATE(Tablo1710612131618202224[[#This Row],[DOSYA NO]],"_",Tablo1710612131618202224[[#This Row],[MÜŞTERİ ADI]],$P$10,"_",Tablo1710612131618202224[[#This Row],[İŞİN ADI]],"_",Tablo1710612131618202224[[#This Row],[İŞİN TÜRÜ]])</f>
        <v>___</v>
      </c>
    </row>
    <row r="767" spans="1:11" s="22" customFormat="1" ht="24.95" customHeight="1" x14ac:dyDescent="0.25">
      <c r="A767" s="21"/>
      <c r="F767" s="1"/>
      <c r="G767" s="26"/>
      <c r="H767" s="18"/>
      <c r="I767" s="18"/>
      <c r="J767" s="30"/>
      <c r="K767" s="22" t="str">
        <f>+CONCATENATE(Tablo1710612131618202224[[#This Row],[DOSYA NO]],"_",Tablo1710612131618202224[[#This Row],[MÜŞTERİ ADI]],$P$10,"_",Tablo1710612131618202224[[#This Row],[İŞİN ADI]],"_",Tablo1710612131618202224[[#This Row],[İŞİN TÜRÜ]])</f>
        <v>___</v>
      </c>
    </row>
    <row r="768" spans="1:11" s="22" customFormat="1" ht="24.95" customHeight="1" x14ac:dyDescent="0.25">
      <c r="A768" s="21"/>
      <c r="F768" s="1"/>
      <c r="G768" s="26"/>
      <c r="H768" s="18"/>
      <c r="I768" s="18"/>
      <c r="J768" s="30"/>
      <c r="K768" s="22" t="str">
        <f>+CONCATENATE(Tablo1710612131618202224[[#This Row],[DOSYA NO]],"_",Tablo1710612131618202224[[#This Row],[MÜŞTERİ ADI]],$P$10,"_",Tablo1710612131618202224[[#This Row],[İŞİN ADI]],"_",Tablo1710612131618202224[[#This Row],[İŞİN TÜRÜ]])</f>
        <v>___</v>
      </c>
    </row>
    <row r="769" spans="1:11" s="22" customFormat="1" ht="24.95" customHeight="1" x14ac:dyDescent="0.25">
      <c r="A769" s="21"/>
      <c r="F769" s="1"/>
      <c r="G769" s="26"/>
      <c r="H769" s="18"/>
      <c r="I769" s="18"/>
      <c r="J769" s="30"/>
      <c r="K769" s="22" t="str">
        <f>+CONCATENATE(Tablo1710612131618202224[[#This Row],[DOSYA NO]],"_",Tablo1710612131618202224[[#This Row],[MÜŞTERİ ADI]],$P$10,"_",Tablo1710612131618202224[[#This Row],[İŞİN ADI]],"_",Tablo1710612131618202224[[#This Row],[İŞİN TÜRÜ]])</f>
        <v>___</v>
      </c>
    </row>
    <row r="770" spans="1:11" s="22" customFormat="1" ht="24.95" customHeight="1" x14ac:dyDescent="0.25">
      <c r="A770" s="21"/>
      <c r="F770" s="1"/>
      <c r="G770" s="26"/>
      <c r="H770" s="18"/>
      <c r="I770" s="18"/>
      <c r="J770" s="30"/>
      <c r="K770" s="22" t="str">
        <f>+CONCATENATE(Tablo1710612131618202224[[#This Row],[DOSYA NO]],"_",Tablo1710612131618202224[[#This Row],[MÜŞTERİ ADI]],$P$10,"_",Tablo1710612131618202224[[#This Row],[İŞİN ADI]],"_",Tablo1710612131618202224[[#This Row],[İŞİN TÜRÜ]])</f>
        <v>___</v>
      </c>
    </row>
    <row r="771" spans="1:11" s="22" customFormat="1" ht="24.95" customHeight="1" x14ac:dyDescent="0.25">
      <c r="A771" s="21"/>
      <c r="F771" s="1"/>
      <c r="G771" s="26"/>
      <c r="H771" s="18"/>
      <c r="I771" s="18"/>
      <c r="J771" s="30"/>
      <c r="K771" s="22" t="str">
        <f>+CONCATENATE(Tablo1710612131618202224[[#This Row],[DOSYA NO]],"_",Tablo1710612131618202224[[#This Row],[MÜŞTERİ ADI]],$P$10,"_",Tablo1710612131618202224[[#This Row],[İŞİN ADI]],"_",Tablo1710612131618202224[[#This Row],[İŞİN TÜRÜ]])</f>
        <v>___</v>
      </c>
    </row>
    <row r="772" spans="1:11" s="22" customFormat="1" ht="24.95" customHeight="1" x14ac:dyDescent="0.25">
      <c r="A772" s="21"/>
      <c r="F772" s="1"/>
      <c r="G772" s="26"/>
      <c r="H772" s="18"/>
      <c r="I772" s="18"/>
      <c r="J772" s="30"/>
      <c r="K772" s="22" t="str">
        <f>+CONCATENATE(Tablo1710612131618202224[[#This Row],[DOSYA NO]],"_",Tablo1710612131618202224[[#This Row],[MÜŞTERİ ADI]],$P$10,"_",Tablo1710612131618202224[[#This Row],[İŞİN ADI]],"_",Tablo1710612131618202224[[#This Row],[İŞİN TÜRÜ]])</f>
        <v>___</v>
      </c>
    </row>
    <row r="773" spans="1:11" s="22" customFormat="1" ht="24.95" customHeight="1" x14ac:dyDescent="0.25">
      <c r="A773" s="21"/>
      <c r="F773" s="1"/>
      <c r="G773" s="26"/>
      <c r="H773" s="18"/>
      <c r="I773" s="18"/>
      <c r="J773" s="30"/>
      <c r="K773" s="22" t="str">
        <f>+CONCATENATE(Tablo1710612131618202224[[#This Row],[DOSYA NO]],"_",Tablo1710612131618202224[[#This Row],[MÜŞTERİ ADI]],$P$10,"_",Tablo1710612131618202224[[#This Row],[İŞİN ADI]],"_",Tablo1710612131618202224[[#This Row],[İŞİN TÜRÜ]])</f>
        <v>___</v>
      </c>
    </row>
    <row r="774" spans="1:11" s="22" customFormat="1" ht="24.95" customHeight="1" x14ac:dyDescent="0.25">
      <c r="A774" s="21"/>
      <c r="F774" s="1"/>
      <c r="G774" s="26"/>
      <c r="H774" s="18"/>
      <c r="I774" s="18"/>
      <c r="J774" s="30"/>
      <c r="K774" s="22" t="str">
        <f>+CONCATENATE(Tablo1710612131618202224[[#This Row],[DOSYA NO]],"_",Tablo1710612131618202224[[#This Row],[MÜŞTERİ ADI]],$P$10,"_",Tablo1710612131618202224[[#This Row],[İŞİN ADI]],"_",Tablo1710612131618202224[[#This Row],[İŞİN TÜRÜ]])</f>
        <v>___</v>
      </c>
    </row>
    <row r="775" spans="1:11" s="22" customFormat="1" ht="24.95" customHeight="1" x14ac:dyDescent="0.25">
      <c r="A775" s="21"/>
      <c r="F775" s="1"/>
      <c r="G775" s="26"/>
      <c r="H775" s="18"/>
      <c r="I775" s="18"/>
      <c r="J775" s="30"/>
      <c r="K775" s="22" t="str">
        <f>+CONCATENATE(Tablo1710612131618202224[[#This Row],[DOSYA NO]],"_",Tablo1710612131618202224[[#This Row],[MÜŞTERİ ADI]],$P$10,"_",Tablo1710612131618202224[[#This Row],[İŞİN ADI]],"_",Tablo1710612131618202224[[#This Row],[İŞİN TÜRÜ]])</f>
        <v>___</v>
      </c>
    </row>
    <row r="776" spans="1:11" s="22" customFormat="1" ht="24.95" customHeight="1" x14ac:dyDescent="0.25">
      <c r="A776" s="21"/>
      <c r="F776" s="1"/>
      <c r="G776" s="26"/>
      <c r="H776" s="18"/>
      <c r="I776" s="18"/>
      <c r="J776" s="30"/>
      <c r="K776" s="22" t="str">
        <f>+CONCATENATE(Tablo1710612131618202224[[#This Row],[DOSYA NO]],"_",Tablo1710612131618202224[[#This Row],[MÜŞTERİ ADI]],$P$10,"_",Tablo1710612131618202224[[#This Row],[İŞİN ADI]],"_",Tablo1710612131618202224[[#This Row],[İŞİN TÜRÜ]])</f>
        <v>___</v>
      </c>
    </row>
    <row r="777" spans="1:11" s="22" customFormat="1" ht="24.95" customHeight="1" x14ac:dyDescent="0.25">
      <c r="A777" s="21"/>
      <c r="F777" s="1"/>
      <c r="G777" s="26"/>
      <c r="H777" s="18"/>
      <c r="I777" s="18"/>
      <c r="J777" s="30"/>
      <c r="K777" s="22" t="str">
        <f>+CONCATENATE(Tablo1710612131618202224[[#This Row],[DOSYA NO]],"_",Tablo1710612131618202224[[#This Row],[MÜŞTERİ ADI]],$P$10,"_",Tablo1710612131618202224[[#This Row],[İŞİN ADI]],"_",Tablo1710612131618202224[[#This Row],[İŞİN TÜRÜ]])</f>
        <v>___</v>
      </c>
    </row>
    <row r="778" spans="1:11" s="22" customFormat="1" ht="24.95" customHeight="1" x14ac:dyDescent="0.25">
      <c r="A778" s="21"/>
      <c r="F778" s="1"/>
      <c r="G778" s="26"/>
      <c r="H778" s="18"/>
      <c r="I778" s="18"/>
      <c r="J778" s="30"/>
      <c r="K778" s="22" t="str">
        <f>+CONCATENATE(Tablo1710612131618202224[[#This Row],[DOSYA NO]],"_",Tablo1710612131618202224[[#This Row],[MÜŞTERİ ADI]],$P$10,"_",Tablo1710612131618202224[[#This Row],[İŞİN ADI]],"_",Tablo1710612131618202224[[#This Row],[İŞİN TÜRÜ]])</f>
        <v>___</v>
      </c>
    </row>
    <row r="779" spans="1:11" s="22" customFormat="1" ht="24.95" customHeight="1" x14ac:dyDescent="0.25">
      <c r="A779" s="21"/>
      <c r="F779" s="1"/>
      <c r="G779" s="26"/>
      <c r="H779" s="18"/>
      <c r="I779" s="18"/>
      <c r="J779" s="30"/>
      <c r="K779" s="22" t="str">
        <f>+CONCATENATE(Tablo1710612131618202224[[#This Row],[DOSYA NO]],"_",Tablo1710612131618202224[[#This Row],[MÜŞTERİ ADI]],$P$10,"_",Tablo1710612131618202224[[#This Row],[İŞİN ADI]],"_",Tablo1710612131618202224[[#This Row],[İŞİN TÜRÜ]])</f>
        <v>___</v>
      </c>
    </row>
    <row r="780" spans="1:11" s="22" customFormat="1" ht="24.95" customHeight="1" x14ac:dyDescent="0.25">
      <c r="A780" s="21"/>
      <c r="F780" s="1"/>
      <c r="G780" s="26"/>
      <c r="H780" s="18"/>
      <c r="I780" s="18"/>
      <c r="J780" s="30"/>
      <c r="K780" s="22" t="str">
        <f>+CONCATENATE(Tablo1710612131618202224[[#This Row],[DOSYA NO]],"_",Tablo1710612131618202224[[#This Row],[MÜŞTERİ ADI]],$P$10,"_",Tablo1710612131618202224[[#This Row],[İŞİN ADI]],"_",Tablo1710612131618202224[[#This Row],[İŞİN TÜRÜ]])</f>
        <v>___</v>
      </c>
    </row>
    <row r="781" spans="1:11" s="22" customFormat="1" ht="24.95" customHeight="1" x14ac:dyDescent="0.25">
      <c r="A781" s="21"/>
      <c r="F781" s="1"/>
      <c r="G781" s="26"/>
      <c r="H781" s="18"/>
      <c r="I781" s="18"/>
      <c r="J781" s="30"/>
      <c r="K781" s="22" t="str">
        <f>+CONCATENATE(Tablo1710612131618202224[[#This Row],[DOSYA NO]],"_",Tablo1710612131618202224[[#This Row],[MÜŞTERİ ADI]],$P$10,"_",Tablo1710612131618202224[[#This Row],[İŞİN ADI]],"_",Tablo1710612131618202224[[#This Row],[İŞİN TÜRÜ]])</f>
        <v>___</v>
      </c>
    </row>
    <row r="782" spans="1:11" s="22" customFormat="1" ht="24.95" customHeight="1" x14ac:dyDescent="0.25">
      <c r="A782" s="21"/>
      <c r="F782" s="1"/>
      <c r="G782" s="26"/>
      <c r="H782" s="18"/>
      <c r="I782" s="18"/>
      <c r="J782" s="30"/>
      <c r="K782" s="22" t="str">
        <f>+CONCATENATE(Tablo1710612131618202224[[#This Row],[DOSYA NO]],"_",Tablo1710612131618202224[[#This Row],[MÜŞTERİ ADI]],$P$10,"_",Tablo1710612131618202224[[#This Row],[İŞİN ADI]],"_",Tablo1710612131618202224[[#This Row],[İŞİN TÜRÜ]])</f>
        <v>___</v>
      </c>
    </row>
    <row r="783" spans="1:11" s="22" customFormat="1" ht="24.95" customHeight="1" x14ac:dyDescent="0.25">
      <c r="A783" s="21"/>
      <c r="F783" s="1"/>
      <c r="G783" s="26"/>
      <c r="H783" s="18"/>
      <c r="I783" s="18"/>
      <c r="J783" s="30"/>
      <c r="K783" s="22" t="str">
        <f>+CONCATENATE(Tablo1710612131618202224[[#This Row],[DOSYA NO]],"_",Tablo1710612131618202224[[#This Row],[MÜŞTERİ ADI]],$P$10,"_",Tablo1710612131618202224[[#This Row],[İŞİN ADI]],"_",Tablo1710612131618202224[[#This Row],[İŞİN TÜRÜ]])</f>
        <v>___</v>
      </c>
    </row>
    <row r="784" spans="1:11" s="22" customFormat="1" ht="24.95" customHeight="1" x14ac:dyDescent="0.25">
      <c r="A784" s="21"/>
      <c r="F784" s="1"/>
      <c r="G784" s="26"/>
      <c r="H784" s="18"/>
      <c r="I784" s="18"/>
      <c r="J784" s="30"/>
      <c r="K784" s="22" t="str">
        <f>+CONCATENATE(Tablo1710612131618202224[[#This Row],[DOSYA NO]],"_",Tablo1710612131618202224[[#This Row],[MÜŞTERİ ADI]],$P$10,"_",Tablo1710612131618202224[[#This Row],[İŞİN ADI]],"_",Tablo1710612131618202224[[#This Row],[İŞİN TÜRÜ]])</f>
        <v>___</v>
      </c>
    </row>
    <row r="785" spans="1:11" s="22" customFormat="1" ht="24.95" customHeight="1" x14ac:dyDescent="0.25">
      <c r="A785" s="21"/>
      <c r="F785" s="1"/>
      <c r="G785" s="26"/>
      <c r="H785" s="18"/>
      <c r="I785" s="18"/>
      <c r="J785" s="30"/>
      <c r="K785" s="22" t="str">
        <f>+CONCATENATE(Tablo1710612131618202224[[#This Row],[DOSYA NO]],"_",Tablo1710612131618202224[[#This Row],[MÜŞTERİ ADI]],$P$10,"_",Tablo1710612131618202224[[#This Row],[İŞİN ADI]],"_",Tablo1710612131618202224[[#This Row],[İŞİN TÜRÜ]])</f>
        <v>___</v>
      </c>
    </row>
    <row r="786" spans="1:11" s="22" customFormat="1" ht="24.95" customHeight="1" x14ac:dyDescent="0.25">
      <c r="A786" s="21"/>
      <c r="F786" s="1"/>
      <c r="G786" s="26"/>
      <c r="H786" s="18"/>
      <c r="I786" s="18"/>
      <c r="J786" s="30"/>
      <c r="K786" s="22" t="str">
        <f>+CONCATENATE(Tablo1710612131618202224[[#This Row],[DOSYA NO]],"_",Tablo1710612131618202224[[#This Row],[MÜŞTERİ ADI]],$P$10,"_",Tablo1710612131618202224[[#This Row],[İŞİN ADI]],"_",Tablo1710612131618202224[[#This Row],[İŞİN TÜRÜ]])</f>
        <v>___</v>
      </c>
    </row>
    <row r="787" spans="1:11" s="22" customFormat="1" ht="24.95" customHeight="1" x14ac:dyDescent="0.25">
      <c r="A787" s="21"/>
      <c r="F787" s="1"/>
      <c r="G787" s="26"/>
      <c r="H787" s="18"/>
      <c r="I787" s="18"/>
      <c r="J787" s="30"/>
      <c r="K787" s="22" t="str">
        <f>+CONCATENATE(Tablo1710612131618202224[[#This Row],[DOSYA NO]],"_",Tablo1710612131618202224[[#This Row],[MÜŞTERİ ADI]],$P$10,"_",Tablo1710612131618202224[[#This Row],[İŞİN ADI]],"_",Tablo1710612131618202224[[#This Row],[İŞİN TÜRÜ]])</f>
        <v>___</v>
      </c>
    </row>
    <row r="788" spans="1:11" s="22" customFormat="1" ht="24.95" customHeight="1" x14ac:dyDescent="0.25">
      <c r="A788" s="21"/>
      <c r="F788" s="1"/>
      <c r="G788" s="26"/>
      <c r="H788" s="18"/>
      <c r="I788" s="18"/>
      <c r="J788" s="30"/>
      <c r="K788" s="22" t="str">
        <f>+CONCATENATE(Tablo1710612131618202224[[#This Row],[DOSYA NO]],"_",Tablo1710612131618202224[[#This Row],[MÜŞTERİ ADI]],$P$10,"_",Tablo1710612131618202224[[#This Row],[İŞİN ADI]],"_",Tablo1710612131618202224[[#This Row],[İŞİN TÜRÜ]])</f>
        <v>___</v>
      </c>
    </row>
    <row r="789" spans="1:11" s="22" customFormat="1" ht="24.95" customHeight="1" x14ac:dyDescent="0.25">
      <c r="A789" s="21"/>
      <c r="F789" s="1"/>
      <c r="G789" s="26"/>
      <c r="H789" s="18"/>
      <c r="I789" s="18"/>
      <c r="J789" s="30"/>
      <c r="K789" s="22" t="str">
        <f>+CONCATENATE(Tablo1710612131618202224[[#This Row],[DOSYA NO]],"_",Tablo1710612131618202224[[#This Row],[MÜŞTERİ ADI]],$P$10,"_",Tablo1710612131618202224[[#This Row],[İŞİN ADI]],"_",Tablo1710612131618202224[[#This Row],[İŞİN TÜRÜ]])</f>
        <v>___</v>
      </c>
    </row>
    <row r="790" spans="1:11" s="22" customFormat="1" ht="24.95" customHeight="1" x14ac:dyDescent="0.25">
      <c r="A790" s="21"/>
      <c r="F790" s="1"/>
      <c r="G790" s="26"/>
      <c r="H790" s="18"/>
      <c r="I790" s="18"/>
      <c r="J790" s="30"/>
      <c r="K790" s="22" t="str">
        <f>+CONCATENATE(Tablo1710612131618202224[[#This Row],[DOSYA NO]],"_",Tablo1710612131618202224[[#This Row],[MÜŞTERİ ADI]],$P$10,"_",Tablo1710612131618202224[[#This Row],[İŞİN ADI]],"_",Tablo1710612131618202224[[#This Row],[İŞİN TÜRÜ]])</f>
        <v>___</v>
      </c>
    </row>
    <row r="791" spans="1:11" s="22" customFormat="1" ht="24.95" customHeight="1" x14ac:dyDescent="0.25">
      <c r="A791" s="21"/>
      <c r="F791" s="1"/>
      <c r="G791" s="26"/>
      <c r="H791" s="18"/>
      <c r="I791" s="18"/>
      <c r="J791" s="30"/>
      <c r="K791" s="22" t="str">
        <f>+CONCATENATE(Tablo1710612131618202224[[#This Row],[DOSYA NO]],"_",Tablo1710612131618202224[[#This Row],[MÜŞTERİ ADI]],$P$10,"_",Tablo1710612131618202224[[#This Row],[İŞİN ADI]],"_",Tablo1710612131618202224[[#This Row],[İŞİN TÜRÜ]])</f>
        <v>___</v>
      </c>
    </row>
    <row r="792" spans="1:11" s="22" customFormat="1" ht="24.95" customHeight="1" x14ac:dyDescent="0.25">
      <c r="A792" s="21"/>
      <c r="F792" s="1"/>
      <c r="G792" s="26"/>
      <c r="H792" s="18"/>
      <c r="I792" s="18"/>
      <c r="J792" s="30"/>
      <c r="K792" s="22" t="str">
        <f>+CONCATENATE(Tablo1710612131618202224[[#This Row],[DOSYA NO]],"_",Tablo1710612131618202224[[#This Row],[MÜŞTERİ ADI]],$P$10,"_",Tablo1710612131618202224[[#This Row],[İŞİN ADI]],"_",Tablo1710612131618202224[[#This Row],[İŞİN TÜRÜ]])</f>
        <v>___</v>
      </c>
    </row>
    <row r="793" spans="1:11" s="22" customFormat="1" ht="24.95" customHeight="1" x14ac:dyDescent="0.25">
      <c r="A793" s="21"/>
      <c r="F793" s="1"/>
      <c r="G793" s="26"/>
      <c r="H793" s="18"/>
      <c r="I793" s="18"/>
      <c r="J793" s="30"/>
      <c r="K793" s="22" t="str">
        <f>+CONCATENATE(Tablo1710612131618202224[[#This Row],[DOSYA NO]],"_",Tablo1710612131618202224[[#This Row],[MÜŞTERİ ADI]],$P$10,"_",Tablo1710612131618202224[[#This Row],[İŞİN ADI]],"_",Tablo1710612131618202224[[#This Row],[İŞİN TÜRÜ]])</f>
        <v>___</v>
      </c>
    </row>
    <row r="794" spans="1:11" s="22" customFormat="1" ht="24.95" customHeight="1" x14ac:dyDescent="0.25">
      <c r="A794" s="21"/>
      <c r="F794" s="1"/>
      <c r="G794" s="26"/>
      <c r="H794" s="18"/>
      <c r="I794" s="18"/>
      <c r="J794" s="30"/>
      <c r="K794" s="22" t="str">
        <f>+CONCATENATE(Tablo1710612131618202224[[#This Row],[DOSYA NO]],"_",Tablo1710612131618202224[[#This Row],[MÜŞTERİ ADI]],$P$10,"_",Tablo1710612131618202224[[#This Row],[İŞİN ADI]],"_",Tablo1710612131618202224[[#This Row],[İŞİN TÜRÜ]])</f>
        <v>___</v>
      </c>
    </row>
    <row r="795" spans="1:11" s="22" customFormat="1" ht="24.95" customHeight="1" x14ac:dyDescent="0.25">
      <c r="A795" s="21"/>
      <c r="F795" s="1"/>
      <c r="G795" s="26"/>
      <c r="H795" s="18"/>
      <c r="I795" s="18"/>
      <c r="J795" s="30"/>
      <c r="K795" s="22" t="str">
        <f>+CONCATENATE(Tablo1710612131618202224[[#This Row],[DOSYA NO]],"_",Tablo1710612131618202224[[#This Row],[MÜŞTERİ ADI]],$P$10,"_",Tablo1710612131618202224[[#This Row],[İŞİN ADI]],"_",Tablo1710612131618202224[[#This Row],[İŞİN TÜRÜ]])</f>
        <v>___</v>
      </c>
    </row>
    <row r="796" spans="1:11" s="22" customFormat="1" ht="24.95" customHeight="1" x14ac:dyDescent="0.25">
      <c r="A796" s="21"/>
      <c r="F796" s="1"/>
      <c r="G796" s="26"/>
      <c r="H796" s="18"/>
      <c r="I796" s="18"/>
      <c r="J796" s="30"/>
      <c r="K796" s="22" t="str">
        <f>+CONCATENATE(Tablo1710612131618202224[[#This Row],[DOSYA NO]],"_",Tablo1710612131618202224[[#This Row],[MÜŞTERİ ADI]],$P$10,"_",Tablo1710612131618202224[[#This Row],[İŞİN ADI]],"_",Tablo1710612131618202224[[#This Row],[İŞİN TÜRÜ]])</f>
        <v>___</v>
      </c>
    </row>
    <row r="797" spans="1:11" s="22" customFormat="1" ht="24.95" customHeight="1" x14ac:dyDescent="0.25">
      <c r="A797" s="21"/>
      <c r="F797" s="1"/>
      <c r="G797" s="26"/>
      <c r="H797" s="18"/>
      <c r="I797" s="18"/>
      <c r="J797" s="30"/>
      <c r="K797" s="22" t="str">
        <f>+CONCATENATE(Tablo1710612131618202224[[#This Row],[DOSYA NO]],"_",Tablo1710612131618202224[[#This Row],[MÜŞTERİ ADI]],$P$10,"_",Tablo1710612131618202224[[#This Row],[İŞİN ADI]],"_",Tablo1710612131618202224[[#This Row],[İŞİN TÜRÜ]])</f>
        <v>___</v>
      </c>
    </row>
    <row r="798" spans="1:11" s="22" customFormat="1" ht="24.95" customHeight="1" x14ac:dyDescent="0.25">
      <c r="A798" s="21"/>
      <c r="F798" s="1"/>
      <c r="G798" s="26"/>
      <c r="H798" s="18"/>
      <c r="I798" s="18"/>
      <c r="J798" s="30"/>
      <c r="K798" s="22" t="str">
        <f>+CONCATENATE(Tablo1710612131618202224[[#This Row],[DOSYA NO]],"_",Tablo1710612131618202224[[#This Row],[MÜŞTERİ ADI]],$P$10,"_",Tablo1710612131618202224[[#This Row],[İŞİN ADI]],"_",Tablo1710612131618202224[[#This Row],[İŞİN TÜRÜ]])</f>
        <v>___</v>
      </c>
    </row>
    <row r="799" spans="1:11" s="22" customFormat="1" ht="24.95" customHeight="1" x14ac:dyDescent="0.25">
      <c r="A799" s="21"/>
      <c r="F799" s="1"/>
      <c r="G799" s="26"/>
      <c r="H799" s="18"/>
      <c r="I799" s="18"/>
      <c r="J799" s="30"/>
      <c r="K799" s="22" t="str">
        <f>+CONCATENATE(Tablo1710612131618202224[[#This Row],[DOSYA NO]],"_",Tablo1710612131618202224[[#This Row],[MÜŞTERİ ADI]],$P$10,"_",Tablo1710612131618202224[[#This Row],[İŞİN ADI]],"_",Tablo1710612131618202224[[#This Row],[İŞİN TÜRÜ]])</f>
        <v>___</v>
      </c>
    </row>
    <row r="800" spans="1:11" s="22" customFormat="1" ht="24.95" customHeight="1" x14ac:dyDescent="0.25">
      <c r="A800" s="21"/>
      <c r="F800" s="1"/>
      <c r="G800" s="26"/>
      <c r="H800" s="18"/>
      <c r="I800" s="18"/>
      <c r="J800" s="30"/>
      <c r="K800" s="22" t="str">
        <f>+CONCATENATE(Tablo1710612131618202224[[#This Row],[DOSYA NO]],"_",Tablo1710612131618202224[[#This Row],[MÜŞTERİ ADI]],$P$10,"_",Tablo1710612131618202224[[#This Row],[İŞİN ADI]],"_",Tablo1710612131618202224[[#This Row],[İŞİN TÜRÜ]])</f>
        <v>___</v>
      </c>
    </row>
    <row r="801" spans="1:11" s="22" customFormat="1" ht="24.95" customHeight="1" x14ac:dyDescent="0.25">
      <c r="A801" s="21"/>
      <c r="F801" s="1"/>
      <c r="G801" s="26"/>
      <c r="H801" s="18"/>
      <c r="I801" s="18"/>
      <c r="J801" s="30"/>
      <c r="K801" s="22" t="str">
        <f>+CONCATENATE(Tablo1710612131618202224[[#This Row],[DOSYA NO]],"_",Tablo1710612131618202224[[#This Row],[MÜŞTERİ ADI]],$P$10,"_",Tablo1710612131618202224[[#This Row],[İŞİN ADI]],"_",Tablo1710612131618202224[[#This Row],[İŞİN TÜRÜ]])</f>
        <v>___</v>
      </c>
    </row>
    <row r="802" spans="1:11" s="22" customFormat="1" ht="24.95" customHeight="1" x14ac:dyDescent="0.25">
      <c r="A802" s="21"/>
      <c r="F802" s="1"/>
      <c r="G802" s="26"/>
      <c r="H802" s="18"/>
      <c r="I802" s="18"/>
      <c r="J802" s="30"/>
      <c r="K802" s="22" t="str">
        <f>+CONCATENATE(Tablo1710612131618202224[[#This Row],[DOSYA NO]],"_",Tablo1710612131618202224[[#This Row],[MÜŞTERİ ADI]],$P$10,"_",Tablo1710612131618202224[[#This Row],[İŞİN ADI]],"_",Tablo1710612131618202224[[#This Row],[İŞİN TÜRÜ]])</f>
        <v>___</v>
      </c>
    </row>
    <row r="803" spans="1:11" s="22" customFormat="1" ht="24.95" customHeight="1" x14ac:dyDescent="0.25">
      <c r="A803" s="21"/>
      <c r="F803" s="1"/>
      <c r="G803" s="26"/>
      <c r="H803" s="18"/>
      <c r="I803" s="18"/>
      <c r="J803" s="30"/>
      <c r="K803" s="22" t="str">
        <f>+CONCATENATE(Tablo1710612131618202224[[#This Row],[DOSYA NO]],"_",Tablo1710612131618202224[[#This Row],[MÜŞTERİ ADI]],$P$10,"_",Tablo1710612131618202224[[#This Row],[İŞİN ADI]],"_",Tablo1710612131618202224[[#This Row],[İŞİN TÜRÜ]])</f>
        <v>___</v>
      </c>
    </row>
    <row r="804" spans="1:11" s="22" customFormat="1" ht="24.95" customHeight="1" x14ac:dyDescent="0.25">
      <c r="A804" s="21"/>
      <c r="F804" s="1"/>
      <c r="G804" s="26"/>
      <c r="H804" s="18"/>
      <c r="I804" s="18"/>
      <c r="J804" s="30"/>
      <c r="K804" s="22" t="str">
        <f>+CONCATENATE(Tablo1710612131618202224[[#This Row],[DOSYA NO]],"_",Tablo1710612131618202224[[#This Row],[MÜŞTERİ ADI]],$P$10,"_",Tablo1710612131618202224[[#This Row],[İŞİN ADI]],"_",Tablo1710612131618202224[[#This Row],[İŞİN TÜRÜ]])</f>
        <v>___</v>
      </c>
    </row>
    <row r="805" spans="1:11" s="22" customFormat="1" ht="24.95" customHeight="1" x14ac:dyDescent="0.25">
      <c r="A805" s="21"/>
      <c r="F805" s="1"/>
      <c r="G805" s="26"/>
      <c r="H805" s="18"/>
      <c r="I805" s="18"/>
      <c r="J805" s="30"/>
      <c r="K805" s="22" t="str">
        <f>+CONCATENATE(Tablo1710612131618202224[[#This Row],[DOSYA NO]],"_",Tablo1710612131618202224[[#This Row],[MÜŞTERİ ADI]],$P$10,"_",Tablo1710612131618202224[[#This Row],[İŞİN ADI]],"_",Tablo1710612131618202224[[#This Row],[İŞİN TÜRÜ]])</f>
        <v>___</v>
      </c>
    </row>
    <row r="806" spans="1:11" s="22" customFormat="1" ht="24.95" customHeight="1" x14ac:dyDescent="0.25">
      <c r="A806" s="21"/>
      <c r="F806" s="1"/>
      <c r="G806" s="26"/>
      <c r="H806" s="18"/>
      <c r="I806" s="18"/>
      <c r="J806" s="30"/>
      <c r="K806" s="22" t="str">
        <f>+CONCATENATE(Tablo1710612131618202224[[#This Row],[DOSYA NO]],"_",Tablo1710612131618202224[[#This Row],[MÜŞTERİ ADI]],$P$10,"_",Tablo1710612131618202224[[#This Row],[İŞİN ADI]],"_",Tablo1710612131618202224[[#This Row],[İŞİN TÜRÜ]])</f>
        <v>___</v>
      </c>
    </row>
    <row r="807" spans="1:11" s="22" customFormat="1" ht="24.95" customHeight="1" x14ac:dyDescent="0.25">
      <c r="A807" s="21"/>
      <c r="F807" s="1"/>
      <c r="G807" s="26"/>
      <c r="H807" s="18"/>
      <c r="I807" s="18"/>
      <c r="J807" s="30"/>
      <c r="K807" s="22" t="str">
        <f>+CONCATENATE(Tablo1710612131618202224[[#This Row],[DOSYA NO]],"_",Tablo1710612131618202224[[#This Row],[MÜŞTERİ ADI]],$P$10,"_",Tablo1710612131618202224[[#This Row],[İŞİN ADI]],"_",Tablo1710612131618202224[[#This Row],[İŞİN TÜRÜ]])</f>
        <v>___</v>
      </c>
    </row>
    <row r="808" spans="1:11" s="22" customFormat="1" ht="24.95" customHeight="1" x14ac:dyDescent="0.25">
      <c r="A808" s="21"/>
      <c r="F808" s="1"/>
      <c r="G808" s="26"/>
      <c r="H808" s="18"/>
      <c r="I808" s="18"/>
      <c r="J808" s="30"/>
      <c r="K808" s="22" t="str">
        <f>+CONCATENATE(Tablo1710612131618202224[[#This Row],[DOSYA NO]],"_",Tablo1710612131618202224[[#This Row],[MÜŞTERİ ADI]],$P$10,"_",Tablo1710612131618202224[[#This Row],[İŞİN ADI]],"_",Tablo1710612131618202224[[#This Row],[İŞİN TÜRÜ]])</f>
        <v>___</v>
      </c>
    </row>
    <row r="809" spans="1:11" s="22" customFormat="1" ht="24.95" customHeight="1" x14ac:dyDescent="0.25">
      <c r="A809" s="21"/>
      <c r="F809" s="1"/>
      <c r="G809" s="26"/>
      <c r="H809" s="18"/>
      <c r="I809" s="18"/>
      <c r="J809" s="30"/>
      <c r="K809" s="22" t="str">
        <f>+CONCATENATE(Tablo1710612131618202224[[#This Row],[DOSYA NO]],"_",Tablo1710612131618202224[[#This Row],[MÜŞTERİ ADI]],$P$10,"_",Tablo1710612131618202224[[#This Row],[İŞİN ADI]],"_",Tablo1710612131618202224[[#This Row],[İŞİN TÜRÜ]])</f>
        <v>___</v>
      </c>
    </row>
    <row r="810" spans="1:11" s="22" customFormat="1" ht="24.95" customHeight="1" x14ac:dyDescent="0.25">
      <c r="A810" s="21"/>
      <c r="F810" s="1"/>
      <c r="G810" s="26"/>
      <c r="H810" s="18"/>
      <c r="I810" s="18"/>
      <c r="J810" s="30"/>
      <c r="K810" s="22" t="str">
        <f>+CONCATENATE(Tablo1710612131618202224[[#This Row],[DOSYA NO]],"_",Tablo1710612131618202224[[#This Row],[MÜŞTERİ ADI]],$P$10,"_",Tablo1710612131618202224[[#This Row],[İŞİN ADI]],"_",Tablo1710612131618202224[[#This Row],[İŞİN TÜRÜ]])</f>
        <v>___</v>
      </c>
    </row>
    <row r="811" spans="1:11" s="22" customFormat="1" ht="24.95" customHeight="1" x14ac:dyDescent="0.25">
      <c r="A811" s="21"/>
      <c r="F811" s="1"/>
      <c r="G811" s="26"/>
      <c r="H811" s="18"/>
      <c r="I811" s="18"/>
      <c r="J811" s="30"/>
      <c r="K811" s="22" t="str">
        <f>+CONCATENATE(Tablo1710612131618202224[[#This Row],[DOSYA NO]],"_",Tablo1710612131618202224[[#This Row],[MÜŞTERİ ADI]],$P$10,"_",Tablo1710612131618202224[[#This Row],[İŞİN ADI]],"_",Tablo1710612131618202224[[#This Row],[İŞİN TÜRÜ]])</f>
        <v>___</v>
      </c>
    </row>
    <row r="812" spans="1:11" s="22" customFormat="1" ht="24.95" customHeight="1" x14ac:dyDescent="0.25">
      <c r="A812" s="21"/>
      <c r="F812" s="1"/>
      <c r="G812" s="26"/>
      <c r="H812" s="18"/>
      <c r="I812" s="18"/>
      <c r="J812" s="30"/>
      <c r="K812" s="22" t="str">
        <f>+CONCATENATE(Tablo1710612131618202224[[#This Row],[DOSYA NO]],"_",Tablo1710612131618202224[[#This Row],[MÜŞTERİ ADI]],$P$10,"_",Tablo1710612131618202224[[#This Row],[İŞİN ADI]],"_",Tablo1710612131618202224[[#This Row],[İŞİN TÜRÜ]])</f>
        <v>___</v>
      </c>
    </row>
    <row r="813" spans="1:11" s="22" customFormat="1" ht="24.95" customHeight="1" x14ac:dyDescent="0.25">
      <c r="A813" s="21"/>
      <c r="F813" s="1"/>
      <c r="G813" s="26"/>
      <c r="H813" s="18"/>
      <c r="I813" s="18"/>
      <c r="J813" s="30"/>
      <c r="K813" s="22" t="str">
        <f>+CONCATENATE(Tablo1710612131618202224[[#This Row],[DOSYA NO]],"_",Tablo1710612131618202224[[#This Row],[MÜŞTERİ ADI]],$P$10,"_",Tablo1710612131618202224[[#This Row],[İŞİN ADI]],"_",Tablo1710612131618202224[[#This Row],[İŞİN TÜRÜ]])</f>
        <v>___</v>
      </c>
    </row>
    <row r="814" spans="1:11" s="22" customFormat="1" ht="24.95" customHeight="1" x14ac:dyDescent="0.25">
      <c r="A814" s="21"/>
      <c r="F814" s="1"/>
      <c r="G814" s="26"/>
      <c r="H814" s="18"/>
      <c r="I814" s="18"/>
      <c r="J814" s="30"/>
      <c r="K814" s="22" t="str">
        <f>+CONCATENATE(Tablo1710612131618202224[[#This Row],[DOSYA NO]],"_",Tablo1710612131618202224[[#This Row],[MÜŞTERİ ADI]],$P$10,"_",Tablo1710612131618202224[[#This Row],[İŞİN ADI]],"_",Tablo1710612131618202224[[#This Row],[İŞİN TÜRÜ]])</f>
        <v>___</v>
      </c>
    </row>
    <row r="815" spans="1:11" s="22" customFormat="1" ht="24.95" customHeight="1" x14ac:dyDescent="0.25">
      <c r="A815" s="21"/>
      <c r="F815" s="1"/>
      <c r="G815" s="26"/>
      <c r="H815" s="18"/>
      <c r="I815" s="18"/>
      <c r="J815" s="30"/>
      <c r="K815" s="22" t="str">
        <f>+CONCATENATE(Tablo1710612131618202224[[#This Row],[DOSYA NO]],"_",Tablo1710612131618202224[[#This Row],[MÜŞTERİ ADI]],$P$10,"_",Tablo1710612131618202224[[#This Row],[İŞİN ADI]],"_",Tablo1710612131618202224[[#This Row],[İŞİN TÜRÜ]])</f>
        <v>___</v>
      </c>
    </row>
    <row r="816" spans="1:11" s="22" customFormat="1" ht="24.95" customHeight="1" x14ac:dyDescent="0.25">
      <c r="A816" s="21"/>
      <c r="F816" s="1"/>
      <c r="G816" s="26"/>
      <c r="H816" s="18"/>
      <c r="I816" s="18"/>
      <c r="J816" s="30"/>
      <c r="K816" s="22" t="str">
        <f>+CONCATENATE(Tablo1710612131618202224[[#This Row],[DOSYA NO]],"_",Tablo1710612131618202224[[#This Row],[MÜŞTERİ ADI]],$P$10,"_",Tablo1710612131618202224[[#This Row],[İŞİN ADI]],"_",Tablo1710612131618202224[[#This Row],[İŞİN TÜRÜ]])</f>
        <v>___</v>
      </c>
    </row>
    <row r="817" spans="1:11" s="22" customFormat="1" ht="24.95" customHeight="1" x14ac:dyDescent="0.25">
      <c r="A817" s="21"/>
      <c r="F817" s="1"/>
      <c r="G817" s="26"/>
      <c r="H817" s="18"/>
      <c r="I817" s="18"/>
      <c r="J817" s="30"/>
      <c r="K817" s="22" t="str">
        <f>+CONCATENATE(Tablo1710612131618202224[[#This Row],[DOSYA NO]],"_",Tablo1710612131618202224[[#This Row],[MÜŞTERİ ADI]],$P$10,"_",Tablo1710612131618202224[[#This Row],[İŞİN ADI]],"_",Tablo1710612131618202224[[#This Row],[İŞİN TÜRÜ]])</f>
        <v>___</v>
      </c>
    </row>
    <row r="818" spans="1:11" s="22" customFormat="1" ht="24.95" customHeight="1" x14ac:dyDescent="0.25">
      <c r="A818" s="21"/>
      <c r="F818" s="1"/>
      <c r="G818" s="26"/>
      <c r="H818" s="18"/>
      <c r="I818" s="18"/>
      <c r="J818" s="30"/>
      <c r="K818" s="22" t="str">
        <f>+CONCATENATE(Tablo1710612131618202224[[#This Row],[DOSYA NO]],"_",Tablo1710612131618202224[[#This Row],[MÜŞTERİ ADI]],$P$10,"_",Tablo1710612131618202224[[#This Row],[İŞİN ADI]],"_",Tablo1710612131618202224[[#This Row],[İŞİN TÜRÜ]])</f>
        <v>___</v>
      </c>
    </row>
    <row r="819" spans="1:11" s="22" customFormat="1" ht="24.95" customHeight="1" x14ac:dyDescent="0.25">
      <c r="A819" s="21"/>
      <c r="F819" s="1"/>
      <c r="G819" s="26"/>
      <c r="H819" s="18"/>
      <c r="I819" s="18"/>
      <c r="J819" s="30"/>
      <c r="K819" s="22" t="str">
        <f>+CONCATENATE(Tablo1710612131618202224[[#This Row],[DOSYA NO]],"_",Tablo1710612131618202224[[#This Row],[MÜŞTERİ ADI]],$P$10,"_",Tablo1710612131618202224[[#This Row],[İŞİN ADI]],"_",Tablo1710612131618202224[[#This Row],[İŞİN TÜRÜ]])</f>
        <v>___</v>
      </c>
    </row>
    <row r="820" spans="1:11" s="22" customFormat="1" ht="24.95" customHeight="1" x14ac:dyDescent="0.25">
      <c r="A820" s="21"/>
      <c r="F820" s="1"/>
      <c r="G820" s="26"/>
      <c r="H820" s="18"/>
      <c r="I820" s="18"/>
      <c r="J820" s="30"/>
      <c r="K820" s="22" t="str">
        <f>+CONCATENATE(Tablo1710612131618202224[[#This Row],[DOSYA NO]],"_",Tablo1710612131618202224[[#This Row],[MÜŞTERİ ADI]],$P$10,"_",Tablo1710612131618202224[[#This Row],[İŞİN ADI]],"_",Tablo1710612131618202224[[#This Row],[İŞİN TÜRÜ]])</f>
        <v>___</v>
      </c>
    </row>
    <row r="821" spans="1:11" s="22" customFormat="1" ht="24.95" customHeight="1" x14ac:dyDescent="0.25">
      <c r="A821" s="21"/>
      <c r="F821" s="1"/>
      <c r="G821" s="26"/>
      <c r="H821" s="18"/>
      <c r="I821" s="18"/>
      <c r="J821" s="30"/>
      <c r="K821" s="22" t="str">
        <f>+CONCATENATE(Tablo1710612131618202224[[#This Row],[DOSYA NO]],"_",Tablo1710612131618202224[[#This Row],[MÜŞTERİ ADI]],$P$10,"_",Tablo1710612131618202224[[#This Row],[İŞİN ADI]],"_",Tablo1710612131618202224[[#This Row],[İŞİN TÜRÜ]])</f>
        <v>___</v>
      </c>
    </row>
    <row r="822" spans="1:11" s="22" customFormat="1" ht="24.95" customHeight="1" x14ac:dyDescent="0.25">
      <c r="A822" s="21"/>
      <c r="F822" s="1"/>
      <c r="G822" s="26"/>
      <c r="H822" s="18"/>
      <c r="I822" s="18"/>
      <c r="J822" s="30"/>
      <c r="K822" s="22" t="str">
        <f>+CONCATENATE(Tablo1710612131618202224[[#This Row],[DOSYA NO]],"_",Tablo1710612131618202224[[#This Row],[MÜŞTERİ ADI]],$P$10,"_",Tablo1710612131618202224[[#This Row],[İŞİN ADI]],"_",Tablo1710612131618202224[[#This Row],[İŞİN TÜRÜ]])</f>
        <v>___</v>
      </c>
    </row>
    <row r="823" spans="1:11" s="22" customFormat="1" ht="24.95" customHeight="1" x14ac:dyDescent="0.25">
      <c r="A823" s="21"/>
      <c r="F823" s="1"/>
      <c r="G823" s="26"/>
      <c r="H823" s="18"/>
      <c r="I823" s="18"/>
      <c r="J823" s="30"/>
      <c r="K823" s="22" t="str">
        <f>+CONCATENATE(Tablo1710612131618202224[[#This Row],[DOSYA NO]],"_",Tablo1710612131618202224[[#This Row],[MÜŞTERİ ADI]],$P$10,"_",Tablo1710612131618202224[[#This Row],[İŞİN ADI]],"_",Tablo1710612131618202224[[#This Row],[İŞİN TÜRÜ]])</f>
        <v>___</v>
      </c>
    </row>
    <row r="824" spans="1:11" s="22" customFormat="1" ht="24.95" customHeight="1" x14ac:dyDescent="0.25">
      <c r="A824" s="21"/>
      <c r="F824" s="1"/>
      <c r="G824" s="26"/>
      <c r="H824" s="18"/>
      <c r="I824" s="18"/>
      <c r="J824" s="30"/>
      <c r="K824" s="22" t="str">
        <f>+CONCATENATE(Tablo1710612131618202224[[#This Row],[DOSYA NO]],"_",Tablo1710612131618202224[[#This Row],[MÜŞTERİ ADI]],$P$10,"_",Tablo1710612131618202224[[#This Row],[İŞİN ADI]],"_",Tablo1710612131618202224[[#This Row],[İŞİN TÜRÜ]])</f>
        <v>___</v>
      </c>
    </row>
    <row r="825" spans="1:11" s="22" customFormat="1" ht="24.95" customHeight="1" x14ac:dyDescent="0.25">
      <c r="A825" s="21"/>
      <c r="F825" s="1"/>
      <c r="G825" s="26"/>
      <c r="H825" s="18"/>
      <c r="I825" s="18"/>
      <c r="J825" s="30"/>
      <c r="K825" s="22" t="str">
        <f>+CONCATENATE(Tablo1710612131618202224[[#This Row],[DOSYA NO]],"_",Tablo1710612131618202224[[#This Row],[MÜŞTERİ ADI]],$P$10,"_",Tablo1710612131618202224[[#This Row],[İŞİN ADI]],"_",Tablo1710612131618202224[[#This Row],[İŞİN TÜRÜ]])</f>
        <v>___</v>
      </c>
    </row>
    <row r="826" spans="1:11" s="22" customFormat="1" ht="24.95" customHeight="1" x14ac:dyDescent="0.25">
      <c r="A826" s="21"/>
      <c r="F826" s="1"/>
      <c r="G826" s="26"/>
      <c r="H826" s="18"/>
      <c r="I826" s="18"/>
      <c r="J826" s="30"/>
      <c r="K826" s="22" t="str">
        <f>+CONCATENATE(Tablo1710612131618202224[[#This Row],[DOSYA NO]],"_",Tablo1710612131618202224[[#This Row],[MÜŞTERİ ADI]],$P$10,"_",Tablo1710612131618202224[[#This Row],[İŞİN ADI]],"_",Tablo1710612131618202224[[#This Row],[İŞİN TÜRÜ]])</f>
        <v>___</v>
      </c>
    </row>
    <row r="827" spans="1:11" s="22" customFormat="1" ht="24.95" customHeight="1" x14ac:dyDescent="0.25">
      <c r="A827" s="21"/>
      <c r="F827" s="1"/>
      <c r="G827" s="26"/>
      <c r="H827" s="18"/>
      <c r="I827" s="18"/>
      <c r="J827" s="30"/>
      <c r="K827" s="22" t="str">
        <f>+CONCATENATE(Tablo1710612131618202224[[#This Row],[DOSYA NO]],"_",Tablo1710612131618202224[[#This Row],[MÜŞTERİ ADI]],$P$10,"_",Tablo1710612131618202224[[#This Row],[İŞİN ADI]],"_",Tablo1710612131618202224[[#This Row],[İŞİN TÜRÜ]])</f>
        <v>___</v>
      </c>
    </row>
    <row r="828" spans="1:11" s="22" customFormat="1" ht="24.95" customHeight="1" x14ac:dyDescent="0.25">
      <c r="A828" s="21"/>
      <c r="F828" s="1"/>
      <c r="G828" s="26"/>
      <c r="H828" s="18"/>
      <c r="I828" s="18"/>
      <c r="J828" s="30"/>
      <c r="K828" s="22" t="str">
        <f>+CONCATENATE(Tablo1710612131618202224[[#This Row],[DOSYA NO]],"_",Tablo1710612131618202224[[#This Row],[MÜŞTERİ ADI]],$P$10,"_",Tablo1710612131618202224[[#This Row],[İŞİN ADI]],"_",Tablo1710612131618202224[[#This Row],[İŞİN TÜRÜ]])</f>
        <v>___</v>
      </c>
    </row>
    <row r="829" spans="1:11" s="22" customFormat="1" ht="24.95" customHeight="1" x14ac:dyDescent="0.25">
      <c r="A829" s="21"/>
      <c r="F829" s="1"/>
      <c r="G829" s="26"/>
      <c r="H829" s="18"/>
      <c r="I829" s="18"/>
      <c r="J829" s="30"/>
      <c r="K829" s="22" t="str">
        <f>+CONCATENATE(Tablo1710612131618202224[[#This Row],[DOSYA NO]],"_",Tablo1710612131618202224[[#This Row],[MÜŞTERİ ADI]],$P$10,"_",Tablo1710612131618202224[[#This Row],[İŞİN ADI]],"_",Tablo1710612131618202224[[#This Row],[İŞİN TÜRÜ]])</f>
        <v>___</v>
      </c>
    </row>
    <row r="830" spans="1:11" s="22" customFormat="1" ht="24.95" customHeight="1" x14ac:dyDescent="0.25">
      <c r="A830" s="21"/>
      <c r="F830" s="1"/>
      <c r="G830" s="26"/>
      <c r="H830" s="18"/>
      <c r="I830" s="18"/>
      <c r="J830" s="30"/>
      <c r="K830" s="22" t="str">
        <f>+CONCATENATE(Tablo1710612131618202224[[#This Row],[DOSYA NO]],"_",Tablo1710612131618202224[[#This Row],[MÜŞTERİ ADI]],$P$10,"_",Tablo1710612131618202224[[#This Row],[İŞİN ADI]],"_",Tablo1710612131618202224[[#This Row],[İŞİN TÜRÜ]])</f>
        <v>___</v>
      </c>
    </row>
    <row r="831" spans="1:11" s="22" customFormat="1" ht="24.95" customHeight="1" x14ac:dyDescent="0.25">
      <c r="A831" s="21"/>
      <c r="F831" s="1"/>
      <c r="G831" s="26"/>
      <c r="H831" s="18"/>
      <c r="I831" s="18"/>
      <c r="J831" s="30"/>
      <c r="K831" s="22" t="str">
        <f>+CONCATENATE(Tablo1710612131618202224[[#This Row],[DOSYA NO]],"_",Tablo1710612131618202224[[#This Row],[MÜŞTERİ ADI]],$P$10,"_",Tablo1710612131618202224[[#This Row],[İŞİN ADI]],"_",Tablo1710612131618202224[[#This Row],[İŞİN TÜRÜ]])</f>
        <v>___</v>
      </c>
    </row>
    <row r="832" spans="1:11" s="22" customFormat="1" ht="24.95" customHeight="1" x14ac:dyDescent="0.25">
      <c r="A832" s="21"/>
      <c r="F832" s="1"/>
      <c r="G832" s="26"/>
      <c r="H832" s="18"/>
      <c r="I832" s="18"/>
      <c r="J832" s="30"/>
      <c r="K832" s="22" t="str">
        <f>+CONCATENATE(Tablo1710612131618202224[[#This Row],[DOSYA NO]],"_",Tablo1710612131618202224[[#This Row],[MÜŞTERİ ADI]],$P$10,"_",Tablo1710612131618202224[[#This Row],[İŞİN ADI]],"_",Tablo1710612131618202224[[#This Row],[İŞİN TÜRÜ]])</f>
        <v>___</v>
      </c>
    </row>
    <row r="833" spans="1:11" s="22" customFormat="1" ht="24.95" customHeight="1" x14ac:dyDescent="0.25">
      <c r="A833" s="21"/>
      <c r="F833" s="1"/>
      <c r="G833" s="26"/>
      <c r="H833" s="18"/>
      <c r="I833" s="18"/>
      <c r="J833" s="30"/>
      <c r="K833" s="22" t="str">
        <f>+CONCATENATE(Tablo1710612131618202224[[#This Row],[DOSYA NO]],"_",Tablo1710612131618202224[[#This Row],[MÜŞTERİ ADI]],$P$10,"_",Tablo1710612131618202224[[#This Row],[İŞİN ADI]],"_",Tablo1710612131618202224[[#This Row],[İŞİN TÜRÜ]])</f>
        <v>___</v>
      </c>
    </row>
    <row r="834" spans="1:11" s="22" customFormat="1" ht="24.95" customHeight="1" x14ac:dyDescent="0.25">
      <c r="A834" s="21"/>
      <c r="F834" s="1"/>
      <c r="G834" s="26"/>
      <c r="H834" s="18"/>
      <c r="I834" s="18"/>
      <c r="J834" s="30"/>
      <c r="K834" s="22" t="str">
        <f>+CONCATENATE(Tablo1710612131618202224[[#This Row],[DOSYA NO]],"_",Tablo1710612131618202224[[#This Row],[MÜŞTERİ ADI]],$P$10,"_",Tablo1710612131618202224[[#This Row],[İŞİN ADI]],"_",Tablo1710612131618202224[[#This Row],[İŞİN TÜRÜ]])</f>
        <v>___</v>
      </c>
    </row>
    <row r="835" spans="1:11" s="22" customFormat="1" ht="24.95" customHeight="1" x14ac:dyDescent="0.25">
      <c r="A835" s="21"/>
      <c r="F835" s="1"/>
      <c r="G835" s="26"/>
      <c r="H835" s="18"/>
      <c r="I835" s="18"/>
      <c r="J835" s="30"/>
      <c r="K835" s="22" t="str">
        <f>+CONCATENATE(Tablo1710612131618202224[[#This Row],[DOSYA NO]],"_",Tablo1710612131618202224[[#This Row],[MÜŞTERİ ADI]],$P$10,"_",Tablo1710612131618202224[[#This Row],[İŞİN ADI]],"_",Tablo1710612131618202224[[#This Row],[İŞİN TÜRÜ]])</f>
        <v>___</v>
      </c>
    </row>
    <row r="836" spans="1:11" s="22" customFormat="1" ht="24.95" customHeight="1" x14ac:dyDescent="0.25">
      <c r="A836" s="21"/>
      <c r="F836" s="1"/>
      <c r="G836" s="26"/>
      <c r="H836" s="18"/>
      <c r="I836" s="18"/>
      <c r="J836" s="30"/>
      <c r="K836" s="22" t="str">
        <f>+CONCATENATE(Tablo1710612131618202224[[#This Row],[DOSYA NO]],"_",Tablo1710612131618202224[[#This Row],[MÜŞTERİ ADI]],$P$10,"_",Tablo1710612131618202224[[#This Row],[İŞİN ADI]],"_",Tablo1710612131618202224[[#This Row],[İŞİN TÜRÜ]])</f>
        <v>___</v>
      </c>
    </row>
    <row r="837" spans="1:11" s="22" customFormat="1" ht="24.95" customHeight="1" x14ac:dyDescent="0.25">
      <c r="A837" s="21"/>
      <c r="F837" s="1"/>
      <c r="G837" s="26"/>
      <c r="H837" s="18"/>
      <c r="I837" s="18"/>
      <c r="J837" s="30"/>
      <c r="K837" s="22" t="str">
        <f>+CONCATENATE(Tablo1710612131618202224[[#This Row],[DOSYA NO]],"_",Tablo1710612131618202224[[#This Row],[MÜŞTERİ ADI]],$P$10,"_",Tablo1710612131618202224[[#This Row],[İŞİN ADI]],"_",Tablo1710612131618202224[[#This Row],[İŞİN TÜRÜ]])</f>
        <v>___</v>
      </c>
    </row>
    <row r="838" spans="1:11" s="22" customFormat="1" ht="24.95" customHeight="1" x14ac:dyDescent="0.25">
      <c r="A838" s="21"/>
      <c r="F838" s="1"/>
      <c r="G838" s="26"/>
      <c r="H838" s="18"/>
      <c r="I838" s="18"/>
      <c r="J838" s="30"/>
      <c r="K838" s="22" t="str">
        <f>+CONCATENATE(Tablo1710612131618202224[[#This Row],[DOSYA NO]],"_",Tablo1710612131618202224[[#This Row],[MÜŞTERİ ADI]],$P$10,"_",Tablo1710612131618202224[[#This Row],[İŞİN ADI]],"_",Tablo1710612131618202224[[#This Row],[İŞİN TÜRÜ]])</f>
        <v>___</v>
      </c>
    </row>
    <row r="839" spans="1:11" s="22" customFormat="1" ht="24.95" customHeight="1" x14ac:dyDescent="0.25">
      <c r="A839" s="21"/>
      <c r="F839" s="1"/>
      <c r="G839" s="26"/>
      <c r="H839" s="18"/>
      <c r="I839" s="18"/>
      <c r="J839" s="30"/>
      <c r="K839" s="22" t="str">
        <f>+CONCATENATE(Tablo1710612131618202224[[#This Row],[DOSYA NO]],"_",Tablo1710612131618202224[[#This Row],[MÜŞTERİ ADI]],$P$10,"_",Tablo1710612131618202224[[#This Row],[İŞİN ADI]],"_",Tablo1710612131618202224[[#This Row],[İŞİN TÜRÜ]])</f>
        <v>___</v>
      </c>
    </row>
    <row r="840" spans="1:11" s="22" customFormat="1" ht="24.95" customHeight="1" x14ac:dyDescent="0.25">
      <c r="A840" s="21"/>
      <c r="F840" s="1"/>
      <c r="G840" s="26"/>
      <c r="H840" s="18"/>
      <c r="I840" s="18"/>
      <c r="J840" s="30"/>
      <c r="K840" s="22" t="str">
        <f>+CONCATENATE(Tablo1710612131618202224[[#This Row],[DOSYA NO]],"_",Tablo1710612131618202224[[#This Row],[MÜŞTERİ ADI]],$P$10,"_",Tablo1710612131618202224[[#This Row],[İŞİN ADI]],"_",Tablo1710612131618202224[[#This Row],[İŞİN TÜRÜ]])</f>
        <v>___</v>
      </c>
    </row>
    <row r="841" spans="1:11" s="22" customFormat="1" ht="24.95" customHeight="1" x14ac:dyDescent="0.25">
      <c r="A841" s="21"/>
      <c r="F841" s="1"/>
      <c r="G841" s="26"/>
      <c r="H841" s="18"/>
      <c r="I841" s="18"/>
      <c r="J841" s="30"/>
      <c r="K841" s="22" t="str">
        <f>+CONCATENATE(Tablo1710612131618202224[[#This Row],[DOSYA NO]],"_",Tablo1710612131618202224[[#This Row],[MÜŞTERİ ADI]],$P$10,"_",Tablo1710612131618202224[[#This Row],[İŞİN ADI]],"_",Tablo1710612131618202224[[#This Row],[İŞİN TÜRÜ]])</f>
        <v>___</v>
      </c>
    </row>
    <row r="842" spans="1:11" s="22" customFormat="1" ht="24.95" customHeight="1" x14ac:dyDescent="0.25">
      <c r="A842" s="21"/>
      <c r="F842" s="1"/>
      <c r="G842" s="26"/>
      <c r="H842" s="18"/>
      <c r="I842" s="18"/>
      <c r="J842" s="30"/>
      <c r="K842" s="22" t="str">
        <f>+CONCATENATE(Tablo1710612131618202224[[#This Row],[DOSYA NO]],"_",Tablo1710612131618202224[[#This Row],[MÜŞTERİ ADI]],$P$10,"_",Tablo1710612131618202224[[#This Row],[İŞİN ADI]],"_",Tablo1710612131618202224[[#This Row],[İŞİN TÜRÜ]])</f>
        <v>___</v>
      </c>
    </row>
    <row r="843" spans="1:11" s="22" customFormat="1" ht="24.95" customHeight="1" x14ac:dyDescent="0.25">
      <c r="A843" s="21"/>
      <c r="F843" s="1"/>
      <c r="G843" s="26"/>
      <c r="H843" s="18"/>
      <c r="I843" s="18"/>
      <c r="J843" s="30"/>
      <c r="K843" s="22" t="str">
        <f>+CONCATENATE(Tablo1710612131618202224[[#This Row],[DOSYA NO]],"_",Tablo1710612131618202224[[#This Row],[MÜŞTERİ ADI]],$P$10,"_",Tablo1710612131618202224[[#This Row],[İŞİN ADI]],"_",Tablo1710612131618202224[[#This Row],[İŞİN TÜRÜ]])</f>
        <v>___</v>
      </c>
    </row>
    <row r="844" spans="1:11" s="22" customFormat="1" ht="24.95" customHeight="1" x14ac:dyDescent="0.25">
      <c r="A844" s="21"/>
      <c r="F844" s="1"/>
      <c r="G844" s="26"/>
      <c r="H844" s="18"/>
      <c r="I844" s="18"/>
      <c r="J844" s="30"/>
      <c r="K844" s="22" t="str">
        <f>+CONCATENATE(Tablo1710612131618202224[[#This Row],[DOSYA NO]],"_",Tablo1710612131618202224[[#This Row],[MÜŞTERİ ADI]],$P$10,"_",Tablo1710612131618202224[[#This Row],[İŞİN ADI]],"_",Tablo1710612131618202224[[#This Row],[İŞİN TÜRÜ]])</f>
        <v>___</v>
      </c>
    </row>
    <row r="845" spans="1:11" s="22" customFormat="1" ht="24.95" customHeight="1" x14ac:dyDescent="0.25">
      <c r="A845" s="21"/>
      <c r="F845" s="1"/>
      <c r="G845" s="26"/>
      <c r="H845" s="18"/>
      <c r="I845" s="18"/>
      <c r="J845" s="30"/>
      <c r="K845" s="22" t="str">
        <f>+CONCATENATE(Tablo1710612131618202224[[#This Row],[DOSYA NO]],"_",Tablo1710612131618202224[[#This Row],[MÜŞTERİ ADI]],$P$10,"_",Tablo1710612131618202224[[#This Row],[İŞİN ADI]],"_",Tablo1710612131618202224[[#This Row],[İŞİN TÜRÜ]])</f>
        <v>___</v>
      </c>
    </row>
    <row r="846" spans="1:11" s="22" customFormat="1" ht="24.95" customHeight="1" x14ac:dyDescent="0.25">
      <c r="A846" s="21"/>
      <c r="F846" s="1"/>
      <c r="G846" s="26"/>
      <c r="H846" s="18"/>
      <c r="I846" s="18"/>
      <c r="J846" s="30"/>
      <c r="K846" s="22" t="str">
        <f>+CONCATENATE(Tablo1710612131618202224[[#This Row],[DOSYA NO]],"_",Tablo1710612131618202224[[#This Row],[MÜŞTERİ ADI]],$P$10,"_",Tablo1710612131618202224[[#This Row],[İŞİN ADI]],"_",Tablo1710612131618202224[[#This Row],[İŞİN TÜRÜ]])</f>
        <v>___</v>
      </c>
    </row>
    <row r="847" spans="1:11" s="22" customFormat="1" ht="24.95" customHeight="1" x14ac:dyDescent="0.25">
      <c r="A847" s="21"/>
      <c r="F847" s="1"/>
      <c r="G847" s="26"/>
      <c r="H847" s="18"/>
      <c r="I847" s="18"/>
      <c r="J847" s="30"/>
      <c r="K847" s="22" t="str">
        <f>+CONCATENATE(Tablo1710612131618202224[[#This Row],[DOSYA NO]],"_",Tablo1710612131618202224[[#This Row],[MÜŞTERİ ADI]],$P$10,"_",Tablo1710612131618202224[[#This Row],[İŞİN ADI]],"_",Tablo1710612131618202224[[#This Row],[İŞİN TÜRÜ]])</f>
        <v>___</v>
      </c>
    </row>
    <row r="848" spans="1:11" s="22" customFormat="1" ht="24.95" customHeight="1" x14ac:dyDescent="0.25">
      <c r="A848" s="21"/>
      <c r="F848" s="1"/>
      <c r="G848" s="26"/>
      <c r="H848" s="18"/>
      <c r="I848" s="18"/>
      <c r="J848" s="30"/>
      <c r="K848" s="22" t="str">
        <f>+CONCATENATE(Tablo1710612131618202224[[#This Row],[DOSYA NO]],"_",Tablo1710612131618202224[[#This Row],[MÜŞTERİ ADI]],$P$10,"_",Tablo1710612131618202224[[#This Row],[İŞİN ADI]],"_",Tablo1710612131618202224[[#This Row],[İŞİN TÜRÜ]])</f>
        <v>___</v>
      </c>
    </row>
    <row r="849" spans="1:11" s="22" customFormat="1" ht="24.95" customHeight="1" x14ac:dyDescent="0.25">
      <c r="A849" s="21"/>
      <c r="F849" s="1"/>
      <c r="G849" s="26"/>
      <c r="H849" s="18"/>
      <c r="I849" s="18"/>
      <c r="J849" s="30"/>
      <c r="K849" s="22" t="str">
        <f>+CONCATENATE(Tablo1710612131618202224[[#This Row],[DOSYA NO]],"_",Tablo1710612131618202224[[#This Row],[MÜŞTERİ ADI]],$P$10,"_",Tablo1710612131618202224[[#This Row],[İŞİN ADI]],"_",Tablo1710612131618202224[[#This Row],[İŞİN TÜRÜ]])</f>
        <v>___</v>
      </c>
    </row>
    <row r="850" spans="1:11" s="22" customFormat="1" ht="24.95" customHeight="1" x14ac:dyDescent="0.25">
      <c r="A850" s="21"/>
      <c r="F850" s="1"/>
      <c r="G850" s="26"/>
      <c r="H850" s="18"/>
      <c r="I850" s="18"/>
      <c r="J850" s="30"/>
      <c r="K850" s="22" t="str">
        <f>+CONCATENATE(Tablo1710612131618202224[[#This Row],[DOSYA NO]],"_",Tablo1710612131618202224[[#This Row],[MÜŞTERİ ADI]],$P$10,"_",Tablo1710612131618202224[[#This Row],[İŞİN ADI]],"_",Tablo1710612131618202224[[#This Row],[İŞİN TÜRÜ]])</f>
        <v>___</v>
      </c>
    </row>
    <row r="851" spans="1:11" s="22" customFormat="1" ht="24.95" customHeight="1" x14ac:dyDescent="0.25">
      <c r="A851" s="21"/>
      <c r="F851" s="1"/>
      <c r="G851" s="26"/>
      <c r="H851" s="18"/>
      <c r="I851" s="18"/>
      <c r="J851" s="30"/>
      <c r="K851" s="22" t="str">
        <f>+CONCATENATE(Tablo1710612131618202224[[#This Row],[DOSYA NO]],"_",Tablo1710612131618202224[[#This Row],[MÜŞTERİ ADI]],$P$10,"_",Tablo1710612131618202224[[#This Row],[İŞİN ADI]],"_",Tablo1710612131618202224[[#This Row],[İŞİN TÜRÜ]])</f>
        <v>___</v>
      </c>
    </row>
    <row r="852" spans="1:11" s="22" customFormat="1" ht="24.95" customHeight="1" x14ac:dyDescent="0.25">
      <c r="A852" s="21"/>
      <c r="F852" s="1"/>
      <c r="G852" s="26"/>
      <c r="H852" s="18"/>
      <c r="I852" s="18"/>
      <c r="J852" s="30"/>
      <c r="K852" s="22" t="str">
        <f>+CONCATENATE(Tablo1710612131618202224[[#This Row],[DOSYA NO]],"_",Tablo1710612131618202224[[#This Row],[MÜŞTERİ ADI]],$P$10,"_",Tablo1710612131618202224[[#This Row],[İŞİN ADI]],"_",Tablo1710612131618202224[[#This Row],[İŞİN TÜRÜ]])</f>
        <v>___</v>
      </c>
    </row>
    <row r="853" spans="1:11" s="22" customFormat="1" ht="24.95" customHeight="1" x14ac:dyDescent="0.25">
      <c r="A853" s="21"/>
      <c r="F853" s="1"/>
      <c r="G853" s="26"/>
      <c r="H853" s="18"/>
      <c r="I853" s="18"/>
      <c r="J853" s="30"/>
      <c r="K853" s="22" t="str">
        <f>+CONCATENATE(Tablo1710612131618202224[[#This Row],[DOSYA NO]],"_",Tablo1710612131618202224[[#This Row],[MÜŞTERİ ADI]],$P$10,"_",Tablo1710612131618202224[[#This Row],[İŞİN ADI]],"_",Tablo1710612131618202224[[#This Row],[İŞİN TÜRÜ]])</f>
        <v>___</v>
      </c>
    </row>
    <row r="854" spans="1:11" s="22" customFormat="1" ht="24.95" customHeight="1" x14ac:dyDescent="0.25">
      <c r="A854" s="21"/>
      <c r="F854" s="1"/>
      <c r="G854" s="26"/>
      <c r="H854" s="18"/>
      <c r="I854" s="18"/>
      <c r="J854" s="30"/>
      <c r="K854" s="22" t="str">
        <f>+CONCATENATE(Tablo1710612131618202224[[#This Row],[DOSYA NO]],"_",Tablo1710612131618202224[[#This Row],[MÜŞTERİ ADI]],$P$10,"_",Tablo1710612131618202224[[#This Row],[İŞİN ADI]],"_",Tablo1710612131618202224[[#This Row],[İŞİN TÜRÜ]])</f>
        <v>___</v>
      </c>
    </row>
    <row r="855" spans="1:11" s="22" customFormat="1" ht="24.95" customHeight="1" x14ac:dyDescent="0.25">
      <c r="A855" s="21"/>
      <c r="F855" s="1"/>
      <c r="G855" s="26"/>
      <c r="H855" s="18"/>
      <c r="I855" s="18"/>
      <c r="J855" s="30"/>
      <c r="K855" s="22" t="str">
        <f>+CONCATENATE(Tablo1710612131618202224[[#This Row],[DOSYA NO]],"_",Tablo1710612131618202224[[#This Row],[MÜŞTERİ ADI]],$P$10,"_",Tablo1710612131618202224[[#This Row],[İŞİN ADI]],"_",Tablo1710612131618202224[[#This Row],[İŞİN TÜRÜ]])</f>
        <v>___</v>
      </c>
    </row>
    <row r="856" spans="1:11" s="22" customFormat="1" ht="24.95" customHeight="1" x14ac:dyDescent="0.25">
      <c r="A856" s="21"/>
      <c r="F856" s="1"/>
      <c r="G856" s="26"/>
      <c r="H856" s="18"/>
      <c r="I856" s="18"/>
      <c r="J856" s="30"/>
      <c r="K856" s="22" t="str">
        <f>+CONCATENATE(Tablo1710612131618202224[[#This Row],[DOSYA NO]],"_",Tablo1710612131618202224[[#This Row],[MÜŞTERİ ADI]],$P$10,"_",Tablo1710612131618202224[[#This Row],[İŞİN ADI]],"_",Tablo1710612131618202224[[#This Row],[İŞİN TÜRÜ]])</f>
        <v>___</v>
      </c>
    </row>
    <row r="857" spans="1:11" s="22" customFormat="1" ht="24.95" customHeight="1" x14ac:dyDescent="0.25">
      <c r="A857" s="21"/>
      <c r="F857" s="1"/>
      <c r="G857" s="26"/>
      <c r="H857" s="18"/>
      <c r="I857" s="18"/>
      <c r="J857" s="30"/>
      <c r="K857" s="22" t="str">
        <f>+CONCATENATE(Tablo1710612131618202224[[#This Row],[DOSYA NO]],"_",Tablo1710612131618202224[[#This Row],[MÜŞTERİ ADI]],$P$10,"_",Tablo1710612131618202224[[#This Row],[İŞİN ADI]],"_",Tablo1710612131618202224[[#This Row],[İŞİN TÜRÜ]])</f>
        <v>___</v>
      </c>
    </row>
    <row r="858" spans="1:11" s="22" customFormat="1" ht="24.95" customHeight="1" x14ac:dyDescent="0.25">
      <c r="A858" s="21"/>
      <c r="F858" s="1"/>
      <c r="G858" s="26"/>
      <c r="H858" s="18"/>
      <c r="I858" s="18"/>
      <c r="J858" s="30"/>
      <c r="K858" s="22" t="str">
        <f>+CONCATENATE(Tablo1710612131618202224[[#This Row],[DOSYA NO]],"_",Tablo1710612131618202224[[#This Row],[MÜŞTERİ ADI]],$P$10,"_",Tablo1710612131618202224[[#This Row],[İŞİN ADI]],"_",Tablo1710612131618202224[[#This Row],[İŞİN TÜRÜ]])</f>
        <v>___</v>
      </c>
    </row>
    <row r="859" spans="1:11" s="22" customFormat="1" ht="24.95" customHeight="1" x14ac:dyDescent="0.25">
      <c r="A859" s="21"/>
      <c r="F859" s="1"/>
      <c r="G859" s="26"/>
      <c r="H859" s="18"/>
      <c r="I859" s="18"/>
      <c r="J859" s="30"/>
      <c r="K859" s="22" t="str">
        <f>+CONCATENATE(Tablo1710612131618202224[[#This Row],[DOSYA NO]],"_",Tablo1710612131618202224[[#This Row],[MÜŞTERİ ADI]],$P$10,"_",Tablo1710612131618202224[[#This Row],[İŞİN ADI]],"_",Tablo1710612131618202224[[#This Row],[İŞİN TÜRÜ]])</f>
        <v>___</v>
      </c>
    </row>
    <row r="860" spans="1:11" s="22" customFormat="1" ht="24.95" customHeight="1" x14ac:dyDescent="0.25">
      <c r="A860" s="21"/>
      <c r="F860" s="1"/>
      <c r="G860" s="26"/>
      <c r="H860" s="18"/>
      <c r="I860" s="18"/>
      <c r="J860" s="30"/>
      <c r="K860" s="22" t="str">
        <f>+CONCATENATE(Tablo1710612131618202224[[#This Row],[DOSYA NO]],"_",Tablo1710612131618202224[[#This Row],[MÜŞTERİ ADI]],$P$10,"_",Tablo1710612131618202224[[#This Row],[İŞİN ADI]],"_",Tablo1710612131618202224[[#This Row],[İŞİN TÜRÜ]])</f>
        <v>___</v>
      </c>
    </row>
    <row r="861" spans="1:11" s="22" customFormat="1" ht="24.95" customHeight="1" x14ac:dyDescent="0.25">
      <c r="A861" s="21"/>
      <c r="F861" s="1"/>
      <c r="G861" s="26"/>
      <c r="H861" s="18"/>
      <c r="I861" s="18"/>
      <c r="J861" s="30"/>
      <c r="K861" s="22" t="str">
        <f>+CONCATENATE(Tablo1710612131618202224[[#This Row],[DOSYA NO]],"_",Tablo1710612131618202224[[#This Row],[MÜŞTERİ ADI]],$P$10,"_",Tablo1710612131618202224[[#This Row],[İŞİN ADI]],"_",Tablo1710612131618202224[[#This Row],[İŞİN TÜRÜ]])</f>
        <v>___</v>
      </c>
    </row>
    <row r="862" spans="1:11" s="22" customFormat="1" ht="24.95" customHeight="1" x14ac:dyDescent="0.25">
      <c r="A862" s="21"/>
      <c r="F862" s="1"/>
      <c r="G862" s="26"/>
      <c r="H862" s="18"/>
      <c r="I862" s="18"/>
      <c r="J862" s="30"/>
      <c r="K862" s="22" t="str">
        <f>+CONCATENATE(Tablo1710612131618202224[[#This Row],[DOSYA NO]],"_",Tablo1710612131618202224[[#This Row],[MÜŞTERİ ADI]],$P$10,"_",Tablo1710612131618202224[[#This Row],[İŞİN ADI]],"_",Tablo1710612131618202224[[#This Row],[İŞİN TÜRÜ]])</f>
        <v>___</v>
      </c>
    </row>
    <row r="863" spans="1:11" s="22" customFormat="1" ht="24.95" customHeight="1" x14ac:dyDescent="0.25">
      <c r="A863" s="21"/>
      <c r="F863" s="1"/>
      <c r="G863" s="26"/>
      <c r="H863" s="18"/>
      <c r="I863" s="18"/>
      <c r="J863" s="30"/>
      <c r="K863" s="22" t="str">
        <f>+CONCATENATE(Tablo1710612131618202224[[#This Row],[DOSYA NO]],"_",Tablo1710612131618202224[[#This Row],[MÜŞTERİ ADI]],$P$10,"_",Tablo1710612131618202224[[#This Row],[İŞİN ADI]],"_",Tablo1710612131618202224[[#This Row],[İŞİN TÜRÜ]])</f>
        <v>___</v>
      </c>
    </row>
    <row r="864" spans="1:11" s="22" customFormat="1" ht="24.95" customHeight="1" x14ac:dyDescent="0.25">
      <c r="A864" s="21"/>
      <c r="F864" s="1"/>
      <c r="G864" s="26"/>
      <c r="H864" s="18"/>
      <c r="I864" s="18"/>
      <c r="J864" s="30"/>
      <c r="K864" s="22" t="str">
        <f>+CONCATENATE(Tablo1710612131618202224[[#This Row],[DOSYA NO]],"_",Tablo1710612131618202224[[#This Row],[MÜŞTERİ ADI]],$P$10,"_",Tablo1710612131618202224[[#This Row],[İŞİN ADI]],"_",Tablo1710612131618202224[[#This Row],[İŞİN TÜRÜ]])</f>
        <v>___</v>
      </c>
    </row>
    <row r="865" spans="1:11" s="22" customFormat="1" ht="24.95" customHeight="1" x14ac:dyDescent="0.25">
      <c r="A865" s="21"/>
      <c r="F865" s="1"/>
      <c r="G865" s="26"/>
      <c r="H865" s="18"/>
      <c r="I865" s="18"/>
      <c r="J865" s="30"/>
      <c r="K865" s="22" t="str">
        <f>+CONCATENATE(Tablo1710612131618202224[[#This Row],[DOSYA NO]],"_",Tablo1710612131618202224[[#This Row],[MÜŞTERİ ADI]],$P$10,"_",Tablo1710612131618202224[[#This Row],[İŞİN ADI]],"_",Tablo1710612131618202224[[#This Row],[İŞİN TÜRÜ]])</f>
        <v>___</v>
      </c>
    </row>
    <row r="866" spans="1:11" s="22" customFormat="1" ht="24.95" customHeight="1" x14ac:dyDescent="0.25">
      <c r="A866" s="21"/>
      <c r="F866" s="1"/>
      <c r="G866" s="26"/>
      <c r="H866" s="18"/>
      <c r="I866" s="18"/>
      <c r="J866" s="30"/>
      <c r="K866" s="22" t="str">
        <f>+CONCATENATE(Tablo1710612131618202224[[#This Row],[DOSYA NO]],"_",Tablo1710612131618202224[[#This Row],[MÜŞTERİ ADI]],$P$10,"_",Tablo1710612131618202224[[#This Row],[İŞİN ADI]],"_",Tablo1710612131618202224[[#This Row],[İŞİN TÜRÜ]])</f>
        <v>___</v>
      </c>
    </row>
    <row r="867" spans="1:11" s="22" customFormat="1" ht="24.95" customHeight="1" x14ac:dyDescent="0.25">
      <c r="A867" s="21"/>
      <c r="F867" s="1"/>
      <c r="G867" s="26"/>
      <c r="H867" s="18"/>
      <c r="I867" s="18"/>
      <c r="J867" s="30"/>
      <c r="K867" s="22" t="str">
        <f>+CONCATENATE(Tablo1710612131618202224[[#This Row],[DOSYA NO]],"_",Tablo1710612131618202224[[#This Row],[MÜŞTERİ ADI]],$P$10,"_",Tablo1710612131618202224[[#This Row],[İŞİN ADI]],"_",Tablo1710612131618202224[[#This Row],[İŞİN TÜRÜ]])</f>
        <v>___</v>
      </c>
    </row>
    <row r="868" spans="1:11" s="22" customFormat="1" ht="24.95" customHeight="1" x14ac:dyDescent="0.25">
      <c r="A868" s="21"/>
      <c r="F868" s="1"/>
      <c r="G868" s="26"/>
      <c r="H868" s="18"/>
      <c r="I868" s="18"/>
      <c r="J868" s="30"/>
      <c r="K868" s="22" t="str">
        <f>+CONCATENATE(Tablo1710612131618202224[[#This Row],[DOSYA NO]],"_",Tablo1710612131618202224[[#This Row],[MÜŞTERİ ADI]],$P$10,"_",Tablo1710612131618202224[[#This Row],[İŞİN ADI]],"_",Tablo1710612131618202224[[#This Row],[İŞİN TÜRÜ]])</f>
        <v>___</v>
      </c>
    </row>
    <row r="869" spans="1:11" s="22" customFormat="1" ht="24.95" customHeight="1" x14ac:dyDescent="0.25">
      <c r="A869" s="21"/>
      <c r="F869" s="1"/>
      <c r="G869" s="26"/>
      <c r="H869" s="18"/>
      <c r="I869" s="18"/>
      <c r="J869" s="30"/>
      <c r="K869" s="22" t="str">
        <f>+CONCATENATE(Tablo1710612131618202224[[#This Row],[DOSYA NO]],"_",Tablo1710612131618202224[[#This Row],[MÜŞTERİ ADI]],$P$10,"_",Tablo1710612131618202224[[#This Row],[İŞİN ADI]],"_",Tablo1710612131618202224[[#This Row],[İŞİN TÜRÜ]])</f>
        <v>___</v>
      </c>
    </row>
    <row r="870" spans="1:11" s="22" customFormat="1" ht="24.95" customHeight="1" x14ac:dyDescent="0.25">
      <c r="A870" s="21"/>
      <c r="F870" s="1"/>
      <c r="G870" s="26"/>
      <c r="H870" s="18"/>
      <c r="I870" s="18"/>
      <c r="J870" s="30"/>
      <c r="K870" s="22" t="str">
        <f>+CONCATENATE(Tablo1710612131618202224[[#This Row],[DOSYA NO]],"_",Tablo1710612131618202224[[#This Row],[MÜŞTERİ ADI]],$P$10,"_",Tablo1710612131618202224[[#This Row],[İŞİN ADI]],"_",Tablo1710612131618202224[[#This Row],[İŞİN TÜRÜ]])</f>
        <v>___</v>
      </c>
    </row>
    <row r="871" spans="1:11" s="22" customFormat="1" ht="24.95" customHeight="1" x14ac:dyDescent="0.25">
      <c r="A871" s="21"/>
      <c r="F871" s="1"/>
      <c r="G871" s="26"/>
      <c r="H871" s="18"/>
      <c r="I871" s="18"/>
      <c r="J871" s="30"/>
      <c r="K871" s="22" t="str">
        <f>+CONCATENATE(Tablo1710612131618202224[[#This Row],[DOSYA NO]],"_",Tablo1710612131618202224[[#This Row],[MÜŞTERİ ADI]],$P$10,"_",Tablo1710612131618202224[[#This Row],[İŞİN ADI]],"_",Tablo1710612131618202224[[#This Row],[İŞİN TÜRÜ]])</f>
        <v>___</v>
      </c>
    </row>
    <row r="872" spans="1:11" s="22" customFormat="1" ht="24.95" customHeight="1" x14ac:dyDescent="0.25">
      <c r="A872" s="21"/>
      <c r="F872" s="1"/>
      <c r="G872" s="26"/>
      <c r="H872" s="18"/>
      <c r="I872" s="18"/>
      <c r="J872" s="30"/>
      <c r="K872" s="22" t="str">
        <f>+CONCATENATE(Tablo1710612131618202224[[#This Row],[DOSYA NO]],"_",Tablo1710612131618202224[[#This Row],[MÜŞTERİ ADI]],$P$10,"_",Tablo1710612131618202224[[#This Row],[İŞİN ADI]],"_",Tablo1710612131618202224[[#This Row],[İŞİN TÜRÜ]])</f>
        <v>___</v>
      </c>
    </row>
    <row r="873" spans="1:11" s="22" customFormat="1" ht="24.95" customHeight="1" x14ac:dyDescent="0.25">
      <c r="A873" s="21"/>
      <c r="F873" s="1"/>
      <c r="G873" s="26"/>
      <c r="H873" s="18"/>
      <c r="I873" s="18"/>
      <c r="J873" s="30"/>
      <c r="K873" s="22" t="str">
        <f>+CONCATENATE(Tablo1710612131618202224[[#This Row],[DOSYA NO]],"_",Tablo1710612131618202224[[#This Row],[MÜŞTERİ ADI]],$P$10,"_",Tablo1710612131618202224[[#This Row],[İŞİN ADI]],"_",Tablo1710612131618202224[[#This Row],[İŞİN TÜRÜ]])</f>
        <v>___</v>
      </c>
    </row>
    <row r="874" spans="1:11" s="22" customFormat="1" ht="24.95" customHeight="1" x14ac:dyDescent="0.25">
      <c r="A874" s="21"/>
      <c r="F874" s="1"/>
      <c r="G874" s="26"/>
      <c r="H874" s="18"/>
      <c r="I874" s="18"/>
      <c r="J874" s="30"/>
      <c r="K874" s="22" t="str">
        <f>+CONCATENATE(Tablo1710612131618202224[[#This Row],[DOSYA NO]],"_",Tablo1710612131618202224[[#This Row],[MÜŞTERİ ADI]],$P$10,"_",Tablo1710612131618202224[[#This Row],[İŞİN ADI]],"_",Tablo1710612131618202224[[#This Row],[İŞİN TÜRÜ]])</f>
        <v>___</v>
      </c>
    </row>
    <row r="875" spans="1:11" s="22" customFormat="1" ht="24.95" customHeight="1" x14ac:dyDescent="0.25">
      <c r="A875" s="21"/>
      <c r="F875" s="1"/>
      <c r="G875" s="26"/>
      <c r="H875" s="18"/>
      <c r="I875" s="18"/>
      <c r="J875" s="30"/>
      <c r="K875" s="22" t="str">
        <f>+CONCATENATE(Tablo1710612131618202224[[#This Row],[DOSYA NO]],"_",Tablo1710612131618202224[[#This Row],[MÜŞTERİ ADI]],$P$10,"_",Tablo1710612131618202224[[#This Row],[İŞİN ADI]],"_",Tablo1710612131618202224[[#This Row],[İŞİN TÜRÜ]])</f>
        <v>___</v>
      </c>
    </row>
    <row r="876" spans="1:11" s="22" customFormat="1" ht="24.95" customHeight="1" x14ac:dyDescent="0.25">
      <c r="A876" s="21"/>
      <c r="F876" s="1"/>
      <c r="G876" s="26"/>
      <c r="H876" s="18"/>
      <c r="I876" s="18"/>
      <c r="J876" s="30"/>
      <c r="K876" s="22" t="str">
        <f>+CONCATENATE(Tablo1710612131618202224[[#This Row],[DOSYA NO]],"_",Tablo1710612131618202224[[#This Row],[MÜŞTERİ ADI]],$P$10,"_",Tablo1710612131618202224[[#This Row],[İŞİN ADI]],"_",Tablo1710612131618202224[[#This Row],[İŞİN TÜRÜ]])</f>
        <v>___</v>
      </c>
    </row>
    <row r="877" spans="1:11" s="22" customFormat="1" ht="24.95" customHeight="1" x14ac:dyDescent="0.25">
      <c r="A877" s="21"/>
      <c r="F877" s="1"/>
      <c r="G877" s="26"/>
      <c r="H877" s="18"/>
      <c r="I877" s="18"/>
      <c r="J877" s="30"/>
      <c r="K877" s="22" t="str">
        <f>+CONCATENATE(Tablo1710612131618202224[[#This Row],[DOSYA NO]],"_",Tablo1710612131618202224[[#This Row],[MÜŞTERİ ADI]],$P$10,"_",Tablo1710612131618202224[[#This Row],[İŞİN ADI]],"_",Tablo1710612131618202224[[#This Row],[İŞİN TÜRÜ]])</f>
        <v>___</v>
      </c>
    </row>
    <row r="878" spans="1:11" s="22" customFormat="1" ht="24.95" customHeight="1" x14ac:dyDescent="0.25">
      <c r="A878" s="21"/>
      <c r="F878" s="1"/>
      <c r="G878" s="26"/>
      <c r="H878" s="18"/>
      <c r="I878" s="18"/>
      <c r="J878" s="30"/>
      <c r="K878" s="22" t="str">
        <f>+CONCATENATE(Tablo1710612131618202224[[#This Row],[DOSYA NO]],"_",Tablo1710612131618202224[[#This Row],[MÜŞTERİ ADI]],$P$10,"_",Tablo1710612131618202224[[#This Row],[İŞİN ADI]],"_",Tablo1710612131618202224[[#This Row],[İŞİN TÜRÜ]])</f>
        <v>___</v>
      </c>
    </row>
    <row r="879" spans="1:11" s="22" customFormat="1" ht="24.95" customHeight="1" x14ac:dyDescent="0.25">
      <c r="A879" s="21"/>
      <c r="F879" s="1"/>
      <c r="G879" s="26"/>
      <c r="H879" s="18"/>
      <c r="I879" s="18"/>
      <c r="J879" s="30"/>
      <c r="K879" s="22" t="str">
        <f>+CONCATENATE(Tablo1710612131618202224[[#This Row],[DOSYA NO]],"_",Tablo1710612131618202224[[#This Row],[MÜŞTERİ ADI]],$P$10,"_",Tablo1710612131618202224[[#This Row],[İŞİN ADI]],"_",Tablo1710612131618202224[[#This Row],[İŞİN TÜRÜ]])</f>
        <v>___</v>
      </c>
    </row>
    <row r="880" spans="1:11" s="22" customFormat="1" ht="24.95" customHeight="1" x14ac:dyDescent="0.25">
      <c r="A880" s="21"/>
      <c r="F880" s="1"/>
      <c r="G880" s="26"/>
      <c r="H880" s="18"/>
      <c r="I880" s="18"/>
      <c r="J880" s="30"/>
      <c r="K880" s="22" t="str">
        <f>+CONCATENATE(Tablo1710612131618202224[[#This Row],[DOSYA NO]],"_",Tablo1710612131618202224[[#This Row],[MÜŞTERİ ADI]],$P$10,"_",Tablo1710612131618202224[[#This Row],[İŞİN ADI]],"_",Tablo1710612131618202224[[#This Row],[İŞİN TÜRÜ]])</f>
        <v>___</v>
      </c>
    </row>
    <row r="881" spans="1:11" s="22" customFormat="1" ht="24.95" customHeight="1" x14ac:dyDescent="0.25">
      <c r="A881" s="21"/>
      <c r="F881" s="1"/>
      <c r="G881" s="26"/>
      <c r="H881" s="18"/>
      <c r="I881" s="18"/>
      <c r="J881" s="30"/>
      <c r="K881" s="22" t="str">
        <f>+CONCATENATE(Tablo1710612131618202224[[#This Row],[DOSYA NO]],"_",Tablo1710612131618202224[[#This Row],[MÜŞTERİ ADI]],$P$10,"_",Tablo1710612131618202224[[#This Row],[İŞİN ADI]],"_",Tablo1710612131618202224[[#This Row],[İŞİN TÜRÜ]])</f>
        <v>___</v>
      </c>
    </row>
    <row r="882" spans="1:11" s="22" customFormat="1" ht="24.95" customHeight="1" x14ac:dyDescent="0.25">
      <c r="A882" s="21"/>
      <c r="F882" s="1"/>
      <c r="G882" s="26"/>
      <c r="H882" s="18"/>
      <c r="I882" s="18"/>
      <c r="J882" s="30"/>
      <c r="K882" s="22" t="str">
        <f>+CONCATENATE(Tablo1710612131618202224[[#This Row],[DOSYA NO]],"_",Tablo1710612131618202224[[#This Row],[MÜŞTERİ ADI]],$P$10,"_",Tablo1710612131618202224[[#This Row],[İŞİN ADI]],"_",Tablo1710612131618202224[[#This Row],[İŞİN TÜRÜ]])</f>
        <v>___</v>
      </c>
    </row>
    <row r="883" spans="1:11" s="22" customFormat="1" ht="24.95" customHeight="1" x14ac:dyDescent="0.25">
      <c r="A883" s="21"/>
      <c r="F883" s="1"/>
      <c r="G883" s="26"/>
      <c r="H883" s="18"/>
      <c r="I883" s="18"/>
      <c r="J883" s="30"/>
      <c r="K883" s="22" t="str">
        <f>+CONCATENATE(Tablo1710612131618202224[[#This Row],[DOSYA NO]],"_",Tablo1710612131618202224[[#This Row],[MÜŞTERİ ADI]],$P$10,"_",Tablo1710612131618202224[[#This Row],[İŞİN ADI]],"_",Tablo1710612131618202224[[#This Row],[İŞİN TÜRÜ]])</f>
        <v>___</v>
      </c>
    </row>
    <row r="884" spans="1:11" s="22" customFormat="1" ht="24.95" customHeight="1" x14ac:dyDescent="0.25">
      <c r="A884" s="21"/>
      <c r="F884" s="1"/>
      <c r="G884" s="26"/>
      <c r="H884" s="18"/>
      <c r="I884" s="18"/>
      <c r="J884" s="30"/>
      <c r="K884" s="22" t="str">
        <f>+CONCATENATE(Tablo1710612131618202224[[#This Row],[DOSYA NO]],"_",Tablo1710612131618202224[[#This Row],[MÜŞTERİ ADI]],$P$10,"_",Tablo1710612131618202224[[#This Row],[İŞİN ADI]],"_",Tablo1710612131618202224[[#This Row],[İŞİN TÜRÜ]])</f>
        <v>___</v>
      </c>
    </row>
    <row r="885" spans="1:11" s="22" customFormat="1" ht="24.95" customHeight="1" x14ac:dyDescent="0.25">
      <c r="A885" s="21"/>
      <c r="F885" s="1"/>
      <c r="G885" s="26"/>
      <c r="H885" s="18"/>
      <c r="I885" s="18"/>
      <c r="J885" s="30"/>
      <c r="K885" s="22" t="str">
        <f>+CONCATENATE(Tablo1710612131618202224[[#This Row],[DOSYA NO]],"_",Tablo1710612131618202224[[#This Row],[MÜŞTERİ ADI]],$P$10,"_",Tablo1710612131618202224[[#This Row],[İŞİN ADI]],"_",Tablo1710612131618202224[[#This Row],[İŞİN TÜRÜ]])</f>
        <v>___</v>
      </c>
    </row>
    <row r="886" spans="1:11" s="22" customFormat="1" ht="24.95" customHeight="1" x14ac:dyDescent="0.25">
      <c r="A886" s="21"/>
      <c r="F886" s="1"/>
      <c r="G886" s="26"/>
      <c r="H886" s="18"/>
      <c r="I886" s="18"/>
      <c r="J886" s="30"/>
      <c r="K886" s="22" t="str">
        <f>+CONCATENATE(Tablo1710612131618202224[[#This Row],[DOSYA NO]],"_",Tablo1710612131618202224[[#This Row],[MÜŞTERİ ADI]],$P$10,"_",Tablo1710612131618202224[[#This Row],[İŞİN ADI]],"_",Tablo1710612131618202224[[#This Row],[İŞİN TÜRÜ]])</f>
        <v>___</v>
      </c>
    </row>
    <row r="887" spans="1:11" s="22" customFormat="1" ht="24.95" customHeight="1" x14ac:dyDescent="0.25">
      <c r="A887" s="21"/>
      <c r="F887" s="1"/>
      <c r="G887" s="26"/>
      <c r="H887" s="18"/>
      <c r="I887" s="18"/>
      <c r="J887" s="30"/>
      <c r="K887" s="22" t="str">
        <f>+CONCATENATE(Tablo1710612131618202224[[#This Row],[DOSYA NO]],"_",Tablo1710612131618202224[[#This Row],[MÜŞTERİ ADI]],$P$10,"_",Tablo1710612131618202224[[#This Row],[İŞİN ADI]],"_",Tablo1710612131618202224[[#This Row],[İŞİN TÜRÜ]])</f>
        <v>___</v>
      </c>
    </row>
    <row r="888" spans="1:11" s="22" customFormat="1" ht="24.95" customHeight="1" x14ac:dyDescent="0.25">
      <c r="A888" s="21"/>
      <c r="F888" s="1"/>
      <c r="G888" s="26"/>
      <c r="H888" s="18"/>
      <c r="I888" s="18"/>
      <c r="J888" s="30"/>
      <c r="K888" s="22" t="str">
        <f>+CONCATENATE(Tablo1710612131618202224[[#This Row],[DOSYA NO]],"_",Tablo1710612131618202224[[#This Row],[MÜŞTERİ ADI]],$P$10,"_",Tablo1710612131618202224[[#This Row],[İŞİN ADI]],"_",Tablo1710612131618202224[[#This Row],[İŞİN TÜRÜ]])</f>
        <v>___</v>
      </c>
    </row>
    <row r="889" spans="1:11" s="22" customFormat="1" ht="24.95" customHeight="1" x14ac:dyDescent="0.25">
      <c r="A889" s="21"/>
      <c r="F889" s="1"/>
      <c r="G889" s="26"/>
      <c r="H889" s="18"/>
      <c r="I889" s="18"/>
      <c r="J889" s="30"/>
      <c r="K889" s="22" t="str">
        <f>+CONCATENATE(Tablo1710612131618202224[[#This Row],[DOSYA NO]],"_",Tablo1710612131618202224[[#This Row],[MÜŞTERİ ADI]],$P$10,"_",Tablo1710612131618202224[[#This Row],[İŞİN ADI]],"_",Tablo1710612131618202224[[#This Row],[İŞİN TÜRÜ]])</f>
        <v>___</v>
      </c>
    </row>
    <row r="890" spans="1:11" s="22" customFormat="1" ht="24.95" customHeight="1" x14ac:dyDescent="0.25">
      <c r="A890" s="21"/>
      <c r="F890" s="1"/>
      <c r="G890" s="26"/>
      <c r="H890" s="18"/>
      <c r="I890" s="18"/>
      <c r="J890" s="30"/>
      <c r="K890" s="22" t="str">
        <f>+CONCATENATE(Tablo1710612131618202224[[#This Row],[DOSYA NO]],"_",Tablo1710612131618202224[[#This Row],[MÜŞTERİ ADI]],$P$10,"_",Tablo1710612131618202224[[#This Row],[İŞİN ADI]],"_",Tablo1710612131618202224[[#This Row],[İŞİN TÜRÜ]])</f>
        <v>___</v>
      </c>
    </row>
    <row r="891" spans="1:11" s="22" customFormat="1" ht="24.95" customHeight="1" x14ac:dyDescent="0.25">
      <c r="A891" s="21"/>
      <c r="F891" s="1"/>
      <c r="G891" s="26"/>
      <c r="H891" s="18"/>
      <c r="I891" s="18"/>
      <c r="J891" s="30"/>
      <c r="K891" s="22" t="str">
        <f>+CONCATENATE(Tablo1710612131618202224[[#This Row],[DOSYA NO]],"_",Tablo1710612131618202224[[#This Row],[MÜŞTERİ ADI]],$P$10,"_",Tablo1710612131618202224[[#This Row],[İŞİN ADI]],"_",Tablo1710612131618202224[[#This Row],[İŞİN TÜRÜ]])</f>
        <v>___</v>
      </c>
    </row>
    <row r="892" spans="1:11" s="22" customFormat="1" ht="24.95" customHeight="1" x14ac:dyDescent="0.25">
      <c r="A892" s="21"/>
      <c r="F892" s="1"/>
      <c r="G892" s="26"/>
      <c r="H892" s="18"/>
      <c r="I892" s="18"/>
      <c r="J892" s="30"/>
      <c r="K892" s="22" t="str">
        <f>+CONCATENATE(Tablo1710612131618202224[[#This Row],[DOSYA NO]],"_",Tablo1710612131618202224[[#This Row],[MÜŞTERİ ADI]],$P$10,"_",Tablo1710612131618202224[[#This Row],[İŞİN ADI]],"_",Tablo1710612131618202224[[#This Row],[İŞİN TÜRÜ]])</f>
        <v>___</v>
      </c>
    </row>
    <row r="893" spans="1:11" s="22" customFormat="1" ht="24.95" customHeight="1" x14ac:dyDescent="0.25">
      <c r="A893" s="21"/>
      <c r="F893" s="1"/>
      <c r="G893" s="26"/>
      <c r="H893" s="18"/>
      <c r="I893" s="18"/>
      <c r="J893" s="30"/>
      <c r="K893" s="22" t="str">
        <f>+CONCATENATE(Tablo1710612131618202224[[#This Row],[DOSYA NO]],"_",Tablo1710612131618202224[[#This Row],[MÜŞTERİ ADI]],$P$10,"_",Tablo1710612131618202224[[#This Row],[İŞİN ADI]],"_",Tablo1710612131618202224[[#This Row],[İŞİN TÜRÜ]])</f>
        <v>___</v>
      </c>
    </row>
    <row r="894" spans="1:11" s="22" customFormat="1" ht="24.95" customHeight="1" x14ac:dyDescent="0.25">
      <c r="A894" s="21"/>
      <c r="F894" s="1"/>
      <c r="G894" s="26"/>
      <c r="H894" s="18"/>
      <c r="I894" s="18"/>
      <c r="J894" s="30"/>
      <c r="K894" s="22" t="str">
        <f>+CONCATENATE(Tablo1710612131618202224[[#This Row],[DOSYA NO]],"_",Tablo1710612131618202224[[#This Row],[MÜŞTERİ ADI]],$P$10,"_",Tablo1710612131618202224[[#This Row],[İŞİN ADI]],"_",Tablo1710612131618202224[[#This Row],[İŞİN TÜRÜ]])</f>
        <v>___</v>
      </c>
    </row>
    <row r="895" spans="1:11" s="22" customFormat="1" ht="24.95" customHeight="1" x14ac:dyDescent="0.25">
      <c r="A895" s="21"/>
      <c r="F895" s="1"/>
      <c r="G895" s="26"/>
      <c r="H895" s="18"/>
      <c r="I895" s="18"/>
      <c r="J895" s="30"/>
      <c r="K895" s="22" t="str">
        <f>+CONCATENATE(Tablo1710612131618202224[[#This Row],[DOSYA NO]],"_",Tablo1710612131618202224[[#This Row],[MÜŞTERİ ADI]],$P$10,"_",Tablo1710612131618202224[[#This Row],[İŞİN ADI]],"_",Tablo1710612131618202224[[#This Row],[İŞİN TÜRÜ]])</f>
        <v>___</v>
      </c>
    </row>
    <row r="896" spans="1:11" s="22" customFormat="1" ht="24.95" customHeight="1" x14ac:dyDescent="0.25">
      <c r="A896" s="21"/>
      <c r="F896" s="1"/>
      <c r="G896" s="26"/>
      <c r="H896" s="18"/>
      <c r="I896" s="18"/>
      <c r="J896" s="30"/>
      <c r="K896" s="22" t="str">
        <f>+CONCATENATE(Tablo1710612131618202224[[#This Row],[DOSYA NO]],"_",Tablo1710612131618202224[[#This Row],[MÜŞTERİ ADI]],$P$10,"_",Tablo1710612131618202224[[#This Row],[İŞİN ADI]],"_",Tablo1710612131618202224[[#This Row],[İŞİN TÜRÜ]])</f>
        <v>___</v>
      </c>
    </row>
    <row r="897" spans="1:11" s="22" customFormat="1" ht="24.95" customHeight="1" x14ac:dyDescent="0.25">
      <c r="A897" s="21"/>
      <c r="F897" s="1"/>
      <c r="G897" s="26"/>
      <c r="H897" s="18"/>
      <c r="I897" s="18"/>
      <c r="J897" s="30"/>
      <c r="K897" s="22" t="str">
        <f>+CONCATENATE(Tablo1710612131618202224[[#This Row],[DOSYA NO]],"_",Tablo1710612131618202224[[#This Row],[MÜŞTERİ ADI]],$P$10,"_",Tablo1710612131618202224[[#This Row],[İŞİN ADI]],"_",Tablo1710612131618202224[[#This Row],[İŞİN TÜRÜ]])</f>
        <v>___</v>
      </c>
    </row>
    <row r="898" spans="1:11" s="22" customFormat="1" ht="24.95" customHeight="1" x14ac:dyDescent="0.25">
      <c r="A898" s="21"/>
      <c r="F898" s="1"/>
      <c r="G898" s="26"/>
      <c r="H898" s="18"/>
      <c r="I898" s="18"/>
      <c r="J898" s="30"/>
      <c r="K898" s="22" t="str">
        <f>+CONCATENATE(Tablo1710612131618202224[[#This Row],[DOSYA NO]],"_",Tablo1710612131618202224[[#This Row],[MÜŞTERİ ADI]],$P$10,"_",Tablo1710612131618202224[[#This Row],[İŞİN ADI]],"_",Tablo1710612131618202224[[#This Row],[İŞİN TÜRÜ]])</f>
        <v>___</v>
      </c>
    </row>
    <row r="899" spans="1:11" s="22" customFormat="1" ht="24.95" customHeight="1" x14ac:dyDescent="0.25">
      <c r="A899" s="21"/>
      <c r="F899" s="1"/>
      <c r="G899" s="26"/>
      <c r="H899" s="18"/>
      <c r="I899" s="18"/>
      <c r="J899" s="30"/>
      <c r="K899" s="22" t="str">
        <f>+CONCATENATE(Tablo1710612131618202224[[#This Row],[DOSYA NO]],"_",Tablo1710612131618202224[[#This Row],[MÜŞTERİ ADI]],$P$10,"_",Tablo1710612131618202224[[#This Row],[İŞİN ADI]],"_",Tablo1710612131618202224[[#This Row],[İŞİN TÜRÜ]])</f>
        <v>___</v>
      </c>
    </row>
    <row r="900" spans="1:11" s="22" customFormat="1" ht="24.95" customHeight="1" x14ac:dyDescent="0.25">
      <c r="A900" s="21"/>
      <c r="F900" s="1"/>
      <c r="G900" s="26"/>
      <c r="H900" s="18"/>
      <c r="I900" s="18"/>
      <c r="J900" s="30"/>
      <c r="K900" s="22" t="str">
        <f>+CONCATENATE(Tablo1710612131618202224[[#This Row],[DOSYA NO]],"_",Tablo1710612131618202224[[#This Row],[MÜŞTERİ ADI]],$P$10,"_",Tablo1710612131618202224[[#This Row],[İŞİN ADI]],"_",Tablo1710612131618202224[[#This Row],[İŞİN TÜRÜ]])</f>
        <v>___</v>
      </c>
    </row>
    <row r="901" spans="1:11" s="22" customFormat="1" ht="24.95" customHeight="1" x14ac:dyDescent="0.25">
      <c r="A901" s="21"/>
      <c r="F901" s="1"/>
      <c r="G901" s="26"/>
      <c r="H901" s="18"/>
      <c r="I901" s="18"/>
      <c r="J901" s="30"/>
      <c r="K901" s="22" t="str">
        <f>+CONCATENATE(Tablo1710612131618202224[[#This Row],[DOSYA NO]],"_",Tablo1710612131618202224[[#This Row],[MÜŞTERİ ADI]],$P$10,"_",Tablo1710612131618202224[[#This Row],[İŞİN ADI]],"_",Tablo1710612131618202224[[#This Row],[İŞİN TÜRÜ]])</f>
        <v>___</v>
      </c>
    </row>
    <row r="902" spans="1:11" s="22" customFormat="1" ht="24.95" customHeight="1" x14ac:dyDescent="0.25">
      <c r="A902" s="21"/>
      <c r="F902" s="1"/>
      <c r="G902" s="26"/>
      <c r="H902" s="18"/>
      <c r="I902" s="18"/>
      <c r="J902" s="30"/>
      <c r="K902" s="22" t="str">
        <f>+CONCATENATE(Tablo1710612131618202224[[#This Row],[DOSYA NO]],"_",Tablo1710612131618202224[[#This Row],[MÜŞTERİ ADI]],$P$10,"_",Tablo1710612131618202224[[#This Row],[İŞİN ADI]],"_",Tablo1710612131618202224[[#This Row],[İŞİN TÜRÜ]])</f>
        <v>___</v>
      </c>
    </row>
    <row r="903" spans="1:11" s="22" customFormat="1" ht="24.95" customHeight="1" x14ac:dyDescent="0.25">
      <c r="A903" s="21"/>
      <c r="F903" s="1"/>
      <c r="G903" s="26"/>
      <c r="H903" s="18"/>
      <c r="I903" s="18"/>
      <c r="J903" s="30"/>
      <c r="K903" s="22" t="str">
        <f>+CONCATENATE(Tablo1710612131618202224[[#This Row],[DOSYA NO]],"_",Tablo1710612131618202224[[#This Row],[MÜŞTERİ ADI]],$P$10,"_",Tablo1710612131618202224[[#This Row],[İŞİN ADI]],"_",Tablo1710612131618202224[[#This Row],[İŞİN TÜRÜ]])</f>
        <v>___</v>
      </c>
    </row>
    <row r="904" spans="1:11" s="22" customFormat="1" ht="24.95" customHeight="1" x14ac:dyDescent="0.25">
      <c r="A904" s="21"/>
      <c r="F904" s="1"/>
      <c r="G904" s="26"/>
      <c r="H904" s="18"/>
      <c r="I904" s="18"/>
      <c r="J904" s="30"/>
      <c r="K904" s="22" t="str">
        <f>+CONCATENATE(Tablo1710612131618202224[[#This Row],[DOSYA NO]],"_",Tablo1710612131618202224[[#This Row],[MÜŞTERİ ADI]],$P$10,"_",Tablo1710612131618202224[[#This Row],[İŞİN ADI]],"_",Tablo1710612131618202224[[#This Row],[İŞİN TÜRÜ]])</f>
        <v>___</v>
      </c>
    </row>
    <row r="905" spans="1:11" s="22" customFormat="1" ht="24.95" customHeight="1" x14ac:dyDescent="0.25">
      <c r="A905" s="21"/>
      <c r="F905" s="1"/>
      <c r="G905" s="26"/>
      <c r="H905" s="18"/>
      <c r="I905" s="18"/>
      <c r="J905" s="30"/>
      <c r="K905" s="22" t="str">
        <f>+CONCATENATE(Tablo1710612131618202224[[#This Row],[DOSYA NO]],"_",Tablo1710612131618202224[[#This Row],[MÜŞTERİ ADI]],$P$10,"_",Tablo1710612131618202224[[#This Row],[İŞİN ADI]],"_",Tablo1710612131618202224[[#This Row],[İŞİN TÜRÜ]])</f>
        <v>___</v>
      </c>
    </row>
    <row r="906" spans="1:11" s="22" customFormat="1" ht="24.95" customHeight="1" x14ac:dyDescent="0.25">
      <c r="A906" s="21"/>
      <c r="F906" s="1"/>
      <c r="G906" s="26"/>
      <c r="H906" s="18"/>
      <c r="I906" s="18"/>
      <c r="J906" s="30"/>
      <c r="K906" s="22" t="str">
        <f>+CONCATENATE(Tablo1710612131618202224[[#This Row],[DOSYA NO]],"_",Tablo1710612131618202224[[#This Row],[MÜŞTERİ ADI]],$P$10,"_",Tablo1710612131618202224[[#This Row],[İŞİN ADI]],"_",Tablo1710612131618202224[[#This Row],[İŞİN TÜRÜ]])</f>
        <v>___</v>
      </c>
    </row>
    <row r="907" spans="1:11" s="22" customFormat="1" ht="24.95" customHeight="1" x14ac:dyDescent="0.25">
      <c r="A907" s="21"/>
      <c r="F907" s="1"/>
      <c r="G907" s="26"/>
      <c r="H907" s="18"/>
      <c r="I907" s="18"/>
      <c r="J907" s="30"/>
      <c r="K907" s="22" t="str">
        <f>+CONCATENATE(Tablo1710612131618202224[[#This Row],[DOSYA NO]],"_",Tablo1710612131618202224[[#This Row],[MÜŞTERİ ADI]],$P$10,"_",Tablo1710612131618202224[[#This Row],[İŞİN ADI]],"_",Tablo1710612131618202224[[#This Row],[İŞİN TÜRÜ]])</f>
        <v>___</v>
      </c>
    </row>
    <row r="908" spans="1:11" s="22" customFormat="1" ht="24.95" customHeight="1" x14ac:dyDescent="0.25">
      <c r="A908" s="21"/>
      <c r="F908" s="1"/>
      <c r="G908" s="26"/>
      <c r="H908" s="18"/>
      <c r="I908" s="18"/>
      <c r="J908" s="30"/>
      <c r="K908" s="22" t="str">
        <f>+CONCATENATE(Tablo1710612131618202224[[#This Row],[DOSYA NO]],"_",Tablo1710612131618202224[[#This Row],[MÜŞTERİ ADI]],$P$10,"_",Tablo1710612131618202224[[#This Row],[İŞİN ADI]],"_",Tablo1710612131618202224[[#This Row],[İŞİN TÜRÜ]])</f>
        <v>___</v>
      </c>
    </row>
    <row r="909" spans="1:11" s="22" customFormat="1" ht="24.95" customHeight="1" x14ac:dyDescent="0.25">
      <c r="A909" s="21"/>
      <c r="F909" s="1"/>
      <c r="G909" s="26"/>
      <c r="H909" s="18"/>
      <c r="I909" s="18"/>
      <c r="J909" s="30"/>
      <c r="K909" s="22" t="str">
        <f>+CONCATENATE(Tablo1710612131618202224[[#This Row],[DOSYA NO]],"_",Tablo1710612131618202224[[#This Row],[MÜŞTERİ ADI]],$P$10,"_",Tablo1710612131618202224[[#This Row],[İŞİN ADI]],"_",Tablo1710612131618202224[[#This Row],[İŞİN TÜRÜ]])</f>
        <v>___</v>
      </c>
    </row>
    <row r="910" spans="1:11" s="22" customFormat="1" ht="24.95" customHeight="1" x14ac:dyDescent="0.25">
      <c r="A910" s="21"/>
      <c r="F910" s="1"/>
      <c r="G910" s="26"/>
      <c r="H910" s="18"/>
      <c r="I910" s="18"/>
      <c r="J910" s="30"/>
      <c r="K910" s="22" t="str">
        <f>+CONCATENATE(Tablo1710612131618202224[[#This Row],[DOSYA NO]],"_",Tablo1710612131618202224[[#This Row],[MÜŞTERİ ADI]],$P$10,"_",Tablo1710612131618202224[[#This Row],[İŞİN ADI]],"_",Tablo1710612131618202224[[#This Row],[İŞİN TÜRÜ]])</f>
        <v>___</v>
      </c>
    </row>
    <row r="911" spans="1:11" s="22" customFormat="1" ht="24.95" customHeight="1" x14ac:dyDescent="0.25">
      <c r="A911" s="21"/>
      <c r="F911" s="1"/>
      <c r="G911" s="26"/>
      <c r="H911" s="18"/>
      <c r="I911" s="18"/>
      <c r="J911" s="30"/>
      <c r="K911" s="22" t="str">
        <f>+CONCATENATE(Tablo1710612131618202224[[#This Row],[DOSYA NO]],"_",Tablo1710612131618202224[[#This Row],[MÜŞTERİ ADI]],$P$10,"_",Tablo1710612131618202224[[#This Row],[İŞİN ADI]],"_",Tablo1710612131618202224[[#This Row],[İŞİN TÜRÜ]])</f>
        <v>___</v>
      </c>
    </row>
    <row r="912" spans="1:11" s="22" customFormat="1" ht="24.95" customHeight="1" x14ac:dyDescent="0.25">
      <c r="A912" s="21"/>
      <c r="F912" s="1"/>
      <c r="G912" s="26"/>
      <c r="H912" s="18"/>
      <c r="I912" s="18"/>
      <c r="J912" s="30"/>
      <c r="K912" s="22" t="str">
        <f>+CONCATENATE(Tablo1710612131618202224[[#This Row],[DOSYA NO]],"_",Tablo1710612131618202224[[#This Row],[MÜŞTERİ ADI]],$P$10,"_",Tablo1710612131618202224[[#This Row],[İŞİN ADI]],"_",Tablo1710612131618202224[[#This Row],[İŞİN TÜRÜ]])</f>
        <v>___</v>
      </c>
    </row>
    <row r="913" spans="1:11" s="22" customFormat="1" ht="24.95" customHeight="1" x14ac:dyDescent="0.25">
      <c r="A913" s="21"/>
      <c r="F913" s="1"/>
      <c r="G913" s="26"/>
      <c r="H913" s="18"/>
      <c r="I913" s="18"/>
      <c r="J913" s="30"/>
      <c r="K913" s="22" t="str">
        <f>+CONCATENATE(Tablo1710612131618202224[[#This Row],[DOSYA NO]],"_",Tablo1710612131618202224[[#This Row],[MÜŞTERİ ADI]],$P$10,"_",Tablo1710612131618202224[[#This Row],[İŞİN ADI]],"_",Tablo1710612131618202224[[#This Row],[İŞİN TÜRÜ]])</f>
        <v>___</v>
      </c>
    </row>
    <row r="914" spans="1:11" s="22" customFormat="1" ht="24.95" customHeight="1" x14ac:dyDescent="0.25">
      <c r="A914" s="21"/>
      <c r="F914" s="1"/>
      <c r="G914" s="26"/>
      <c r="H914" s="18"/>
      <c r="I914" s="18"/>
      <c r="J914" s="30"/>
      <c r="K914" s="22" t="str">
        <f>+CONCATENATE(Tablo1710612131618202224[[#This Row],[DOSYA NO]],"_",Tablo1710612131618202224[[#This Row],[MÜŞTERİ ADI]],$P$10,"_",Tablo1710612131618202224[[#This Row],[İŞİN ADI]],"_",Tablo1710612131618202224[[#This Row],[İŞİN TÜRÜ]])</f>
        <v>___</v>
      </c>
    </row>
    <row r="915" spans="1:11" s="22" customFormat="1" ht="24.95" customHeight="1" x14ac:dyDescent="0.25">
      <c r="A915" s="21"/>
      <c r="F915" s="1"/>
      <c r="G915" s="26"/>
      <c r="H915" s="18"/>
      <c r="I915" s="18"/>
      <c r="J915" s="30"/>
      <c r="K915" s="22" t="str">
        <f>+CONCATENATE(Tablo1710612131618202224[[#This Row],[DOSYA NO]],"_",Tablo1710612131618202224[[#This Row],[MÜŞTERİ ADI]],$P$10,"_",Tablo1710612131618202224[[#This Row],[İŞİN ADI]],"_",Tablo1710612131618202224[[#This Row],[İŞİN TÜRÜ]])</f>
        <v>___</v>
      </c>
    </row>
    <row r="916" spans="1:11" s="22" customFormat="1" ht="24.95" customHeight="1" x14ac:dyDescent="0.25">
      <c r="A916" s="21"/>
      <c r="F916" s="1"/>
      <c r="G916" s="26"/>
      <c r="H916" s="18"/>
      <c r="I916" s="18"/>
      <c r="J916" s="30"/>
      <c r="K916" s="22" t="str">
        <f>+CONCATENATE(Tablo1710612131618202224[[#This Row],[DOSYA NO]],"_",Tablo1710612131618202224[[#This Row],[MÜŞTERİ ADI]],$P$10,"_",Tablo1710612131618202224[[#This Row],[İŞİN ADI]],"_",Tablo1710612131618202224[[#This Row],[İŞİN TÜRÜ]])</f>
        <v>___</v>
      </c>
    </row>
    <row r="917" spans="1:11" s="22" customFormat="1" ht="24.95" customHeight="1" x14ac:dyDescent="0.25">
      <c r="A917" s="21"/>
      <c r="F917" s="1"/>
      <c r="G917" s="26"/>
      <c r="H917" s="18"/>
      <c r="I917" s="18"/>
      <c r="J917" s="30"/>
      <c r="K917" s="22" t="str">
        <f>+CONCATENATE(Tablo1710612131618202224[[#This Row],[DOSYA NO]],"_",Tablo1710612131618202224[[#This Row],[MÜŞTERİ ADI]],$P$10,"_",Tablo1710612131618202224[[#This Row],[İŞİN ADI]],"_",Tablo1710612131618202224[[#This Row],[İŞİN TÜRÜ]])</f>
        <v>___</v>
      </c>
    </row>
    <row r="918" spans="1:11" s="22" customFormat="1" ht="24.95" customHeight="1" x14ac:dyDescent="0.25">
      <c r="A918" s="21"/>
      <c r="F918" s="1"/>
      <c r="G918" s="26"/>
      <c r="H918" s="18"/>
      <c r="I918" s="18"/>
      <c r="J918" s="30"/>
      <c r="K918" s="22" t="str">
        <f>+CONCATENATE(Tablo1710612131618202224[[#This Row],[DOSYA NO]],"_",Tablo1710612131618202224[[#This Row],[MÜŞTERİ ADI]],$P$10,"_",Tablo1710612131618202224[[#This Row],[İŞİN ADI]],"_",Tablo1710612131618202224[[#This Row],[İŞİN TÜRÜ]])</f>
        <v>___</v>
      </c>
    </row>
    <row r="919" spans="1:11" s="22" customFormat="1" ht="24.95" customHeight="1" x14ac:dyDescent="0.25">
      <c r="A919" s="21"/>
      <c r="F919" s="1"/>
      <c r="G919" s="26"/>
      <c r="H919" s="18"/>
      <c r="I919" s="18"/>
      <c r="J919" s="30"/>
      <c r="K919" s="22" t="str">
        <f>+CONCATENATE(Tablo1710612131618202224[[#This Row],[DOSYA NO]],"_",Tablo1710612131618202224[[#This Row],[MÜŞTERİ ADI]],$P$10,"_",Tablo1710612131618202224[[#This Row],[İŞİN ADI]],"_",Tablo1710612131618202224[[#This Row],[İŞİN TÜRÜ]])</f>
        <v>___</v>
      </c>
    </row>
    <row r="920" spans="1:11" s="22" customFormat="1" ht="24.95" customHeight="1" x14ac:dyDescent="0.25">
      <c r="A920" s="21"/>
      <c r="F920" s="1"/>
      <c r="G920" s="26"/>
      <c r="H920" s="18"/>
      <c r="I920" s="18"/>
      <c r="J920" s="30"/>
      <c r="K920" s="22" t="str">
        <f>+CONCATENATE(Tablo1710612131618202224[[#This Row],[DOSYA NO]],"_",Tablo1710612131618202224[[#This Row],[MÜŞTERİ ADI]],$P$10,"_",Tablo1710612131618202224[[#This Row],[İŞİN ADI]],"_",Tablo1710612131618202224[[#This Row],[İŞİN TÜRÜ]])</f>
        <v>___</v>
      </c>
    </row>
    <row r="921" spans="1:11" s="22" customFormat="1" ht="24.95" customHeight="1" x14ac:dyDescent="0.25">
      <c r="A921" s="21"/>
      <c r="F921" s="1"/>
      <c r="G921" s="26"/>
      <c r="H921" s="18"/>
      <c r="I921" s="18"/>
      <c r="J921" s="30"/>
      <c r="K921" s="22" t="str">
        <f>+CONCATENATE(Tablo1710612131618202224[[#This Row],[DOSYA NO]],"_",Tablo1710612131618202224[[#This Row],[MÜŞTERİ ADI]],$P$10,"_",Tablo1710612131618202224[[#This Row],[İŞİN ADI]],"_",Tablo1710612131618202224[[#This Row],[İŞİN TÜRÜ]])</f>
        <v>___</v>
      </c>
    </row>
    <row r="922" spans="1:11" s="22" customFormat="1" ht="24.95" customHeight="1" x14ac:dyDescent="0.25">
      <c r="A922" s="21"/>
      <c r="F922" s="1"/>
      <c r="G922" s="26"/>
      <c r="H922" s="18"/>
      <c r="I922" s="18"/>
      <c r="J922" s="30"/>
      <c r="K922" s="22" t="str">
        <f>+CONCATENATE(Tablo1710612131618202224[[#This Row],[DOSYA NO]],"_",Tablo1710612131618202224[[#This Row],[MÜŞTERİ ADI]],$P$10,"_",Tablo1710612131618202224[[#This Row],[İŞİN ADI]],"_",Tablo1710612131618202224[[#This Row],[İŞİN TÜRÜ]])</f>
        <v>___</v>
      </c>
    </row>
    <row r="923" spans="1:11" s="22" customFormat="1" ht="24.95" customHeight="1" x14ac:dyDescent="0.25">
      <c r="A923" s="21"/>
      <c r="F923" s="1"/>
      <c r="G923" s="26"/>
      <c r="H923" s="18"/>
      <c r="I923" s="18"/>
      <c r="J923" s="30"/>
      <c r="K923" s="22" t="str">
        <f>+CONCATENATE(Tablo1710612131618202224[[#This Row],[DOSYA NO]],"_",Tablo1710612131618202224[[#This Row],[MÜŞTERİ ADI]],$P$10,"_",Tablo1710612131618202224[[#This Row],[İŞİN ADI]],"_",Tablo1710612131618202224[[#This Row],[İŞİN TÜRÜ]])</f>
        <v>___</v>
      </c>
    </row>
    <row r="924" spans="1:11" s="22" customFormat="1" ht="24.95" customHeight="1" x14ac:dyDescent="0.25">
      <c r="A924" s="21"/>
      <c r="F924" s="1"/>
      <c r="G924" s="26"/>
      <c r="H924" s="18"/>
      <c r="I924" s="18"/>
      <c r="J924" s="30"/>
      <c r="K924" s="22" t="str">
        <f>+CONCATENATE(Tablo1710612131618202224[[#This Row],[DOSYA NO]],"_",Tablo1710612131618202224[[#This Row],[MÜŞTERİ ADI]],$P$10,"_",Tablo1710612131618202224[[#This Row],[İŞİN ADI]],"_",Tablo1710612131618202224[[#This Row],[İŞİN TÜRÜ]])</f>
        <v>___</v>
      </c>
    </row>
    <row r="925" spans="1:11" s="22" customFormat="1" ht="24.95" customHeight="1" x14ac:dyDescent="0.25">
      <c r="A925" s="21"/>
      <c r="F925" s="1"/>
      <c r="G925" s="26"/>
      <c r="H925" s="18"/>
      <c r="I925" s="18"/>
      <c r="J925" s="30"/>
      <c r="K925" s="22" t="str">
        <f>+CONCATENATE(Tablo1710612131618202224[[#This Row],[DOSYA NO]],"_",Tablo1710612131618202224[[#This Row],[MÜŞTERİ ADI]],$P$10,"_",Tablo1710612131618202224[[#This Row],[İŞİN ADI]],"_",Tablo1710612131618202224[[#This Row],[İŞİN TÜRÜ]])</f>
        <v>___</v>
      </c>
    </row>
    <row r="926" spans="1:11" s="22" customFormat="1" ht="24.95" customHeight="1" x14ac:dyDescent="0.25">
      <c r="A926" s="21"/>
      <c r="F926" s="1"/>
      <c r="G926" s="26"/>
      <c r="H926" s="18"/>
      <c r="I926" s="18"/>
      <c r="J926" s="30"/>
      <c r="K926" s="22" t="str">
        <f>+CONCATENATE(Tablo1710612131618202224[[#This Row],[DOSYA NO]],"_",Tablo1710612131618202224[[#This Row],[MÜŞTERİ ADI]],$P$10,"_",Tablo1710612131618202224[[#This Row],[İŞİN ADI]],"_",Tablo1710612131618202224[[#This Row],[İŞİN TÜRÜ]])</f>
        <v>___</v>
      </c>
    </row>
    <row r="927" spans="1:11" s="22" customFormat="1" ht="24.95" customHeight="1" x14ac:dyDescent="0.25">
      <c r="A927" s="21"/>
      <c r="F927" s="1"/>
      <c r="G927" s="26"/>
      <c r="H927" s="18"/>
      <c r="I927" s="18"/>
      <c r="J927" s="30"/>
      <c r="K927" s="22" t="str">
        <f>+CONCATENATE(Tablo1710612131618202224[[#This Row],[DOSYA NO]],"_",Tablo1710612131618202224[[#This Row],[MÜŞTERİ ADI]],$P$10,"_",Tablo1710612131618202224[[#This Row],[İŞİN ADI]],"_",Tablo1710612131618202224[[#This Row],[İŞİN TÜRÜ]])</f>
        <v>___</v>
      </c>
    </row>
    <row r="928" spans="1:11" s="22" customFormat="1" ht="24.95" customHeight="1" x14ac:dyDescent="0.25">
      <c r="A928" s="21"/>
      <c r="F928" s="1"/>
      <c r="G928" s="26"/>
      <c r="H928" s="18"/>
      <c r="I928" s="18"/>
      <c r="J928" s="30"/>
      <c r="K928" s="22" t="str">
        <f>+CONCATENATE(Tablo1710612131618202224[[#This Row],[DOSYA NO]],"_",Tablo1710612131618202224[[#This Row],[MÜŞTERİ ADI]],$P$10,"_",Tablo1710612131618202224[[#This Row],[İŞİN ADI]],"_",Tablo1710612131618202224[[#This Row],[İŞİN TÜRÜ]])</f>
        <v>___</v>
      </c>
    </row>
    <row r="929" spans="1:11" s="22" customFormat="1" ht="24.95" customHeight="1" x14ac:dyDescent="0.25">
      <c r="A929" s="21"/>
      <c r="F929" s="1"/>
      <c r="G929" s="26"/>
      <c r="H929" s="18"/>
      <c r="I929" s="18"/>
      <c r="J929" s="30"/>
      <c r="K929" s="22" t="str">
        <f>+CONCATENATE(Tablo1710612131618202224[[#This Row],[DOSYA NO]],"_",Tablo1710612131618202224[[#This Row],[MÜŞTERİ ADI]],$P$10,"_",Tablo1710612131618202224[[#This Row],[İŞİN ADI]],"_",Tablo1710612131618202224[[#This Row],[İŞİN TÜRÜ]])</f>
        <v>___</v>
      </c>
    </row>
    <row r="930" spans="1:11" s="22" customFormat="1" ht="24.95" customHeight="1" x14ac:dyDescent="0.25">
      <c r="A930" s="21"/>
      <c r="F930" s="1"/>
      <c r="G930" s="26"/>
      <c r="H930" s="18"/>
      <c r="I930" s="18"/>
      <c r="J930" s="30"/>
      <c r="K930" s="22" t="str">
        <f>+CONCATENATE(Tablo1710612131618202224[[#This Row],[DOSYA NO]],"_",Tablo1710612131618202224[[#This Row],[MÜŞTERİ ADI]],$P$10,"_",Tablo1710612131618202224[[#This Row],[İŞİN ADI]],"_",Tablo1710612131618202224[[#This Row],[İŞİN TÜRÜ]])</f>
        <v>___</v>
      </c>
    </row>
    <row r="931" spans="1:11" s="22" customFormat="1" ht="24.95" customHeight="1" x14ac:dyDescent="0.25">
      <c r="A931" s="21"/>
      <c r="F931" s="1"/>
      <c r="G931" s="26"/>
      <c r="H931" s="18"/>
      <c r="I931" s="18"/>
      <c r="J931" s="30"/>
      <c r="K931" s="22" t="str">
        <f>+CONCATENATE(Tablo1710612131618202224[[#This Row],[DOSYA NO]],"_",Tablo1710612131618202224[[#This Row],[MÜŞTERİ ADI]],$P$10,"_",Tablo1710612131618202224[[#This Row],[İŞİN ADI]],"_",Tablo1710612131618202224[[#This Row],[İŞİN TÜRÜ]])</f>
        <v>___</v>
      </c>
    </row>
    <row r="932" spans="1:11" s="22" customFormat="1" ht="24.95" customHeight="1" x14ac:dyDescent="0.25">
      <c r="A932" s="21"/>
      <c r="F932" s="1"/>
      <c r="G932" s="26"/>
      <c r="H932" s="18"/>
      <c r="I932" s="18"/>
      <c r="J932" s="30"/>
      <c r="K932" s="22" t="str">
        <f>+CONCATENATE(Tablo1710612131618202224[[#This Row],[DOSYA NO]],"_",Tablo1710612131618202224[[#This Row],[MÜŞTERİ ADI]],$P$10,"_",Tablo1710612131618202224[[#This Row],[İŞİN ADI]],"_",Tablo1710612131618202224[[#This Row],[İŞİN TÜRÜ]])</f>
        <v>___</v>
      </c>
    </row>
    <row r="933" spans="1:11" s="22" customFormat="1" ht="24.95" customHeight="1" x14ac:dyDescent="0.25">
      <c r="A933" s="21"/>
      <c r="F933" s="1"/>
      <c r="G933" s="26"/>
      <c r="H933" s="18"/>
      <c r="I933" s="18"/>
      <c r="J933" s="30"/>
      <c r="K933" s="22" t="str">
        <f>+CONCATENATE(Tablo1710612131618202224[[#This Row],[DOSYA NO]],"_",Tablo1710612131618202224[[#This Row],[MÜŞTERİ ADI]],$P$10,"_",Tablo1710612131618202224[[#This Row],[İŞİN ADI]],"_",Tablo1710612131618202224[[#This Row],[İŞİN TÜRÜ]])</f>
        <v>___</v>
      </c>
    </row>
    <row r="934" spans="1:11" s="22" customFormat="1" ht="24.95" customHeight="1" x14ac:dyDescent="0.25">
      <c r="A934" s="21"/>
      <c r="F934" s="1"/>
      <c r="G934" s="26"/>
      <c r="H934" s="18"/>
      <c r="I934" s="18"/>
      <c r="J934" s="30"/>
      <c r="K934" s="22" t="str">
        <f>+CONCATENATE(Tablo1710612131618202224[[#This Row],[DOSYA NO]],"_",Tablo1710612131618202224[[#This Row],[MÜŞTERİ ADI]],$P$10,"_",Tablo1710612131618202224[[#This Row],[İŞİN ADI]],"_",Tablo1710612131618202224[[#This Row],[İŞİN TÜRÜ]])</f>
        <v>___</v>
      </c>
    </row>
    <row r="935" spans="1:11" s="22" customFormat="1" ht="24.95" customHeight="1" x14ac:dyDescent="0.25">
      <c r="A935" s="21"/>
      <c r="F935" s="1"/>
      <c r="G935" s="26"/>
      <c r="H935" s="18"/>
      <c r="I935" s="18"/>
      <c r="J935" s="30"/>
      <c r="K935" s="22" t="str">
        <f>+CONCATENATE(Tablo1710612131618202224[[#This Row],[DOSYA NO]],"_",Tablo1710612131618202224[[#This Row],[MÜŞTERİ ADI]],$P$10,"_",Tablo1710612131618202224[[#This Row],[İŞİN ADI]],"_",Tablo1710612131618202224[[#This Row],[İŞİN TÜRÜ]])</f>
        <v>___</v>
      </c>
    </row>
    <row r="936" spans="1:11" s="22" customFormat="1" ht="24.95" customHeight="1" x14ac:dyDescent="0.25">
      <c r="A936" s="21"/>
      <c r="F936" s="1"/>
      <c r="G936" s="26"/>
      <c r="H936" s="18"/>
      <c r="I936" s="18"/>
      <c r="J936" s="30"/>
      <c r="K936" s="22" t="str">
        <f>+CONCATENATE(Tablo1710612131618202224[[#This Row],[DOSYA NO]],"_",Tablo1710612131618202224[[#This Row],[MÜŞTERİ ADI]],$P$10,"_",Tablo1710612131618202224[[#This Row],[İŞİN ADI]],"_",Tablo1710612131618202224[[#This Row],[İŞİN TÜRÜ]])</f>
        <v>___</v>
      </c>
    </row>
    <row r="937" spans="1:11" s="22" customFormat="1" ht="24.95" customHeight="1" x14ac:dyDescent="0.25">
      <c r="A937" s="21"/>
      <c r="F937" s="1"/>
      <c r="G937" s="26"/>
      <c r="H937" s="18"/>
      <c r="I937" s="18"/>
      <c r="J937" s="30"/>
      <c r="K937" s="22" t="str">
        <f>+CONCATENATE(Tablo1710612131618202224[[#This Row],[DOSYA NO]],"_",Tablo1710612131618202224[[#This Row],[MÜŞTERİ ADI]],$P$10,"_",Tablo1710612131618202224[[#This Row],[İŞİN ADI]],"_",Tablo1710612131618202224[[#This Row],[İŞİN TÜRÜ]])</f>
        <v>___</v>
      </c>
    </row>
    <row r="938" spans="1:11" s="22" customFormat="1" ht="24.95" customHeight="1" x14ac:dyDescent="0.25">
      <c r="A938" s="21"/>
      <c r="F938" s="1"/>
      <c r="G938" s="26"/>
      <c r="H938" s="18"/>
      <c r="I938" s="18"/>
      <c r="J938" s="30"/>
      <c r="K938" s="22" t="str">
        <f>+CONCATENATE(Tablo1710612131618202224[[#This Row],[DOSYA NO]],"_",Tablo1710612131618202224[[#This Row],[MÜŞTERİ ADI]],$P$10,"_",Tablo1710612131618202224[[#This Row],[İŞİN ADI]],"_",Tablo1710612131618202224[[#This Row],[İŞİN TÜRÜ]])</f>
        <v>___</v>
      </c>
    </row>
    <row r="939" spans="1:11" s="22" customFormat="1" ht="24.95" customHeight="1" x14ac:dyDescent="0.25">
      <c r="A939" s="21"/>
      <c r="F939" s="1"/>
      <c r="G939" s="26"/>
      <c r="H939" s="18"/>
      <c r="I939" s="18"/>
      <c r="J939" s="30"/>
      <c r="K939" s="22" t="str">
        <f>+CONCATENATE(Tablo1710612131618202224[[#This Row],[DOSYA NO]],"_",Tablo1710612131618202224[[#This Row],[MÜŞTERİ ADI]],$P$10,"_",Tablo1710612131618202224[[#This Row],[İŞİN ADI]],"_",Tablo1710612131618202224[[#This Row],[İŞİN TÜRÜ]])</f>
        <v>___</v>
      </c>
    </row>
    <row r="940" spans="1:11" s="22" customFormat="1" ht="24.95" customHeight="1" x14ac:dyDescent="0.25">
      <c r="A940" s="21"/>
      <c r="F940" s="1"/>
      <c r="G940" s="26"/>
      <c r="H940" s="18"/>
      <c r="I940" s="18"/>
      <c r="J940" s="30"/>
      <c r="K940" s="22" t="str">
        <f>+CONCATENATE(Tablo1710612131618202224[[#This Row],[DOSYA NO]],"_",Tablo1710612131618202224[[#This Row],[MÜŞTERİ ADI]],$P$10,"_",Tablo1710612131618202224[[#This Row],[İŞİN ADI]],"_",Tablo1710612131618202224[[#This Row],[İŞİN TÜRÜ]])</f>
        <v>___</v>
      </c>
    </row>
    <row r="941" spans="1:11" s="22" customFormat="1" ht="24.95" customHeight="1" x14ac:dyDescent="0.25">
      <c r="A941" s="21"/>
      <c r="F941" s="1"/>
      <c r="G941" s="26"/>
      <c r="H941" s="18"/>
      <c r="I941" s="18"/>
      <c r="J941" s="30"/>
      <c r="K941" s="22" t="str">
        <f>+CONCATENATE(Tablo1710612131618202224[[#This Row],[DOSYA NO]],"_",Tablo1710612131618202224[[#This Row],[MÜŞTERİ ADI]],$P$10,"_",Tablo1710612131618202224[[#This Row],[İŞİN ADI]],"_",Tablo1710612131618202224[[#This Row],[İŞİN TÜRÜ]])</f>
        <v>___</v>
      </c>
    </row>
    <row r="942" spans="1:11" s="22" customFormat="1" ht="24.95" customHeight="1" x14ac:dyDescent="0.25">
      <c r="A942" s="21"/>
      <c r="F942" s="1"/>
      <c r="G942" s="26"/>
      <c r="H942" s="18"/>
      <c r="I942" s="18"/>
      <c r="J942" s="30"/>
      <c r="K942" s="22" t="str">
        <f>+CONCATENATE(Tablo1710612131618202224[[#This Row],[DOSYA NO]],"_",Tablo1710612131618202224[[#This Row],[MÜŞTERİ ADI]],$P$10,"_",Tablo1710612131618202224[[#This Row],[İŞİN ADI]],"_",Tablo1710612131618202224[[#This Row],[İŞİN TÜRÜ]])</f>
        <v>___</v>
      </c>
    </row>
    <row r="943" spans="1:11" s="22" customFormat="1" ht="24.95" customHeight="1" x14ac:dyDescent="0.25">
      <c r="A943" s="21"/>
      <c r="F943" s="1"/>
      <c r="G943" s="26"/>
      <c r="H943" s="18"/>
      <c r="I943" s="18"/>
      <c r="J943" s="30"/>
      <c r="K943" s="22" t="str">
        <f>+CONCATENATE(Tablo1710612131618202224[[#This Row],[DOSYA NO]],"_",Tablo1710612131618202224[[#This Row],[MÜŞTERİ ADI]],$P$10,"_",Tablo1710612131618202224[[#This Row],[İŞİN ADI]],"_",Tablo1710612131618202224[[#This Row],[İŞİN TÜRÜ]])</f>
        <v>___</v>
      </c>
    </row>
    <row r="944" spans="1:11" s="22" customFormat="1" ht="24.95" customHeight="1" x14ac:dyDescent="0.25">
      <c r="A944" s="21"/>
      <c r="F944" s="1"/>
      <c r="G944" s="26"/>
      <c r="H944" s="18"/>
      <c r="I944" s="18"/>
      <c r="J944" s="30"/>
      <c r="K944" s="22" t="str">
        <f>+CONCATENATE(Tablo1710612131618202224[[#This Row],[DOSYA NO]],"_",Tablo1710612131618202224[[#This Row],[MÜŞTERİ ADI]],$P$10,"_",Tablo1710612131618202224[[#This Row],[İŞİN ADI]],"_",Tablo1710612131618202224[[#This Row],[İŞİN TÜRÜ]])</f>
        <v>___</v>
      </c>
    </row>
    <row r="945" spans="1:11" s="22" customFormat="1" ht="24.95" customHeight="1" x14ac:dyDescent="0.25">
      <c r="A945" s="21"/>
      <c r="F945" s="1"/>
      <c r="G945" s="26"/>
      <c r="H945" s="18"/>
      <c r="I945" s="18"/>
      <c r="J945" s="30"/>
      <c r="K945" s="22" t="str">
        <f>+CONCATENATE(Tablo1710612131618202224[[#This Row],[DOSYA NO]],"_",Tablo1710612131618202224[[#This Row],[MÜŞTERİ ADI]],$P$10,"_",Tablo1710612131618202224[[#This Row],[İŞİN ADI]],"_",Tablo1710612131618202224[[#This Row],[İŞİN TÜRÜ]])</f>
        <v>___</v>
      </c>
    </row>
    <row r="946" spans="1:11" s="22" customFormat="1" ht="24.95" customHeight="1" x14ac:dyDescent="0.25">
      <c r="A946" s="21"/>
      <c r="F946" s="1"/>
      <c r="G946" s="26"/>
      <c r="H946" s="18"/>
      <c r="I946" s="18"/>
      <c r="J946" s="30"/>
      <c r="K946" s="22" t="str">
        <f>+CONCATENATE(Tablo1710612131618202224[[#This Row],[DOSYA NO]],"_",Tablo1710612131618202224[[#This Row],[MÜŞTERİ ADI]],$P$10,"_",Tablo1710612131618202224[[#This Row],[İŞİN ADI]],"_",Tablo1710612131618202224[[#This Row],[İŞİN TÜRÜ]])</f>
        <v>___</v>
      </c>
    </row>
    <row r="947" spans="1:11" s="22" customFormat="1" ht="24.95" customHeight="1" x14ac:dyDescent="0.25">
      <c r="A947" s="21"/>
      <c r="F947" s="1"/>
      <c r="G947" s="26"/>
      <c r="H947" s="18"/>
      <c r="I947" s="18"/>
      <c r="J947" s="30"/>
      <c r="K947" s="22" t="str">
        <f>+CONCATENATE(Tablo1710612131618202224[[#This Row],[DOSYA NO]],"_",Tablo1710612131618202224[[#This Row],[MÜŞTERİ ADI]],$P$10,"_",Tablo1710612131618202224[[#This Row],[İŞİN ADI]],"_",Tablo1710612131618202224[[#This Row],[İŞİN TÜRÜ]])</f>
        <v>___</v>
      </c>
    </row>
    <row r="948" spans="1:11" s="22" customFormat="1" ht="24.95" customHeight="1" x14ac:dyDescent="0.25">
      <c r="A948" s="21"/>
      <c r="F948" s="1"/>
      <c r="G948" s="26"/>
      <c r="H948" s="18"/>
      <c r="I948" s="18"/>
      <c r="J948" s="30"/>
      <c r="K948" s="22" t="str">
        <f>+CONCATENATE(Tablo1710612131618202224[[#This Row],[DOSYA NO]],"_",Tablo1710612131618202224[[#This Row],[MÜŞTERİ ADI]],$P$10,"_",Tablo1710612131618202224[[#This Row],[İŞİN ADI]],"_",Tablo1710612131618202224[[#This Row],[İŞİN TÜRÜ]])</f>
        <v>___</v>
      </c>
    </row>
    <row r="949" spans="1:11" s="22" customFormat="1" ht="24.95" customHeight="1" x14ac:dyDescent="0.25">
      <c r="A949" s="21"/>
      <c r="F949" s="1"/>
      <c r="G949" s="26"/>
      <c r="H949" s="18"/>
      <c r="I949" s="18"/>
      <c r="J949" s="30"/>
      <c r="K949" s="22" t="str">
        <f>+CONCATENATE(Tablo1710612131618202224[[#This Row],[DOSYA NO]],"_",Tablo1710612131618202224[[#This Row],[MÜŞTERİ ADI]],$P$10,"_",Tablo1710612131618202224[[#This Row],[İŞİN ADI]],"_",Tablo1710612131618202224[[#This Row],[İŞİN TÜRÜ]])</f>
        <v>___</v>
      </c>
    </row>
    <row r="950" spans="1:11" s="22" customFormat="1" ht="24.95" customHeight="1" x14ac:dyDescent="0.25">
      <c r="A950" s="21"/>
      <c r="F950" s="1"/>
      <c r="G950" s="26"/>
      <c r="H950" s="18"/>
      <c r="I950" s="18"/>
      <c r="J950" s="30"/>
      <c r="K950" s="22" t="str">
        <f>+CONCATENATE(Tablo1710612131618202224[[#This Row],[DOSYA NO]],"_",Tablo1710612131618202224[[#This Row],[MÜŞTERİ ADI]],$P$10,"_",Tablo1710612131618202224[[#This Row],[İŞİN ADI]],"_",Tablo1710612131618202224[[#This Row],[İŞİN TÜRÜ]])</f>
        <v>___</v>
      </c>
    </row>
    <row r="951" spans="1:11" s="22" customFormat="1" ht="24.95" customHeight="1" x14ac:dyDescent="0.25">
      <c r="A951" s="21"/>
      <c r="F951" s="1"/>
      <c r="G951" s="26"/>
      <c r="H951" s="18"/>
      <c r="I951" s="18"/>
      <c r="J951" s="30"/>
      <c r="K951" s="22" t="str">
        <f>+CONCATENATE(Tablo1710612131618202224[[#This Row],[DOSYA NO]],"_",Tablo1710612131618202224[[#This Row],[MÜŞTERİ ADI]],$P$10,"_",Tablo1710612131618202224[[#This Row],[İŞİN ADI]],"_",Tablo1710612131618202224[[#This Row],[İŞİN TÜRÜ]])</f>
        <v>___</v>
      </c>
    </row>
    <row r="952" spans="1:11" s="22" customFormat="1" ht="24.95" customHeight="1" x14ac:dyDescent="0.25">
      <c r="A952" s="21"/>
      <c r="F952" s="1"/>
      <c r="G952" s="26"/>
      <c r="H952" s="18"/>
      <c r="I952" s="18"/>
      <c r="J952" s="30"/>
      <c r="K952" s="22" t="str">
        <f>+CONCATENATE(Tablo1710612131618202224[[#This Row],[DOSYA NO]],"_",Tablo1710612131618202224[[#This Row],[MÜŞTERİ ADI]],$P$10,"_",Tablo1710612131618202224[[#This Row],[İŞİN ADI]],"_",Tablo1710612131618202224[[#This Row],[İŞİN TÜRÜ]])</f>
        <v>___</v>
      </c>
    </row>
    <row r="953" spans="1:11" s="22" customFormat="1" ht="24.95" customHeight="1" x14ac:dyDescent="0.25">
      <c r="A953" s="21"/>
      <c r="F953" s="1"/>
      <c r="G953" s="26"/>
      <c r="H953" s="18"/>
      <c r="I953" s="18"/>
      <c r="J953" s="30"/>
      <c r="K953" s="22" t="str">
        <f>+CONCATENATE(Tablo1710612131618202224[[#This Row],[DOSYA NO]],"_",Tablo1710612131618202224[[#This Row],[MÜŞTERİ ADI]],$P$10,"_",Tablo1710612131618202224[[#This Row],[İŞİN ADI]],"_",Tablo1710612131618202224[[#This Row],[İŞİN TÜRÜ]])</f>
        <v>___</v>
      </c>
    </row>
    <row r="954" spans="1:11" s="22" customFormat="1" ht="24.95" customHeight="1" x14ac:dyDescent="0.25">
      <c r="A954" s="21"/>
      <c r="F954" s="1"/>
      <c r="G954" s="26"/>
      <c r="H954" s="18"/>
      <c r="I954" s="18"/>
      <c r="J954" s="30"/>
      <c r="K954" s="22" t="str">
        <f>+CONCATENATE(Tablo1710612131618202224[[#This Row],[DOSYA NO]],"_",Tablo1710612131618202224[[#This Row],[MÜŞTERİ ADI]],$P$10,"_",Tablo1710612131618202224[[#This Row],[İŞİN ADI]],"_",Tablo1710612131618202224[[#This Row],[İŞİN TÜRÜ]])</f>
        <v>___</v>
      </c>
    </row>
    <row r="955" spans="1:11" s="22" customFormat="1" ht="24.95" customHeight="1" x14ac:dyDescent="0.25">
      <c r="A955" s="21"/>
      <c r="F955" s="1"/>
      <c r="G955" s="26"/>
      <c r="H955" s="18"/>
      <c r="I955" s="18"/>
      <c r="J955" s="30"/>
      <c r="K955" s="22" t="str">
        <f>+CONCATENATE(Tablo1710612131618202224[[#This Row],[DOSYA NO]],"_",Tablo1710612131618202224[[#This Row],[MÜŞTERİ ADI]],$P$10,"_",Tablo1710612131618202224[[#This Row],[İŞİN ADI]],"_",Tablo1710612131618202224[[#This Row],[İŞİN TÜRÜ]])</f>
        <v>___</v>
      </c>
    </row>
    <row r="956" spans="1:11" s="22" customFormat="1" ht="24.95" customHeight="1" x14ac:dyDescent="0.25">
      <c r="A956" s="21"/>
      <c r="F956" s="1"/>
      <c r="G956" s="26"/>
      <c r="H956" s="18"/>
      <c r="I956" s="18"/>
      <c r="J956" s="30"/>
      <c r="K956" s="22" t="str">
        <f>+CONCATENATE(Tablo1710612131618202224[[#This Row],[DOSYA NO]],"_",Tablo1710612131618202224[[#This Row],[MÜŞTERİ ADI]],$P$10,"_",Tablo1710612131618202224[[#This Row],[İŞİN ADI]],"_",Tablo1710612131618202224[[#This Row],[İŞİN TÜRÜ]])</f>
        <v>___</v>
      </c>
    </row>
    <row r="957" spans="1:11" s="22" customFormat="1" ht="24.95" customHeight="1" x14ac:dyDescent="0.25">
      <c r="A957" s="21"/>
      <c r="F957" s="1"/>
      <c r="G957" s="26"/>
      <c r="H957" s="18"/>
      <c r="I957" s="18"/>
      <c r="J957" s="30"/>
      <c r="K957" s="22" t="str">
        <f>+CONCATENATE(Tablo1710612131618202224[[#This Row],[DOSYA NO]],"_",Tablo1710612131618202224[[#This Row],[MÜŞTERİ ADI]],$P$10,"_",Tablo1710612131618202224[[#This Row],[İŞİN ADI]],"_",Tablo1710612131618202224[[#This Row],[İŞİN TÜRÜ]])</f>
        <v>___</v>
      </c>
    </row>
    <row r="958" spans="1:11" s="22" customFormat="1" ht="24.95" customHeight="1" x14ac:dyDescent="0.25">
      <c r="A958" s="21"/>
      <c r="F958" s="1"/>
      <c r="G958" s="26"/>
      <c r="H958" s="18"/>
      <c r="I958" s="18"/>
      <c r="J958" s="30"/>
      <c r="K958" s="22" t="str">
        <f>+CONCATENATE(Tablo1710612131618202224[[#This Row],[DOSYA NO]],"_",Tablo1710612131618202224[[#This Row],[MÜŞTERİ ADI]],$P$10,"_",Tablo1710612131618202224[[#This Row],[İŞİN ADI]],"_",Tablo1710612131618202224[[#This Row],[İŞİN TÜRÜ]])</f>
        <v>___</v>
      </c>
    </row>
    <row r="959" spans="1:11" s="22" customFormat="1" ht="24.95" customHeight="1" x14ac:dyDescent="0.25">
      <c r="A959" s="21"/>
      <c r="F959" s="1"/>
      <c r="G959" s="26"/>
      <c r="H959" s="18"/>
      <c r="I959" s="18"/>
      <c r="J959" s="30"/>
      <c r="K959" s="22" t="str">
        <f>+CONCATENATE(Tablo1710612131618202224[[#This Row],[DOSYA NO]],"_",Tablo1710612131618202224[[#This Row],[MÜŞTERİ ADI]],$P$10,"_",Tablo1710612131618202224[[#This Row],[İŞİN ADI]],"_",Tablo1710612131618202224[[#This Row],[İŞİN TÜRÜ]])</f>
        <v>___</v>
      </c>
    </row>
    <row r="960" spans="1:11" s="22" customFormat="1" ht="24.95" customHeight="1" x14ac:dyDescent="0.25">
      <c r="A960" s="21"/>
      <c r="F960" s="1"/>
      <c r="G960" s="26"/>
      <c r="H960" s="18"/>
      <c r="I960" s="18"/>
      <c r="J960" s="30"/>
      <c r="K960" s="22" t="str">
        <f>+CONCATENATE(Tablo1710612131618202224[[#This Row],[DOSYA NO]],"_",Tablo1710612131618202224[[#This Row],[MÜŞTERİ ADI]],$P$10,"_",Tablo1710612131618202224[[#This Row],[İŞİN ADI]],"_",Tablo1710612131618202224[[#This Row],[İŞİN TÜRÜ]])</f>
        <v>___</v>
      </c>
    </row>
    <row r="961" spans="1:11" s="22" customFormat="1" ht="24.95" customHeight="1" x14ac:dyDescent="0.25">
      <c r="A961" s="21"/>
      <c r="F961" s="1"/>
      <c r="G961" s="26"/>
      <c r="H961" s="18"/>
      <c r="I961" s="18"/>
      <c r="J961" s="30"/>
      <c r="K961" s="22" t="str">
        <f>+CONCATENATE(Tablo1710612131618202224[[#This Row],[DOSYA NO]],"_",Tablo1710612131618202224[[#This Row],[MÜŞTERİ ADI]],$P$10,"_",Tablo1710612131618202224[[#This Row],[İŞİN ADI]],"_",Tablo1710612131618202224[[#This Row],[İŞİN TÜRÜ]])</f>
        <v>___</v>
      </c>
    </row>
    <row r="962" spans="1:11" s="22" customFormat="1" ht="24.95" customHeight="1" x14ac:dyDescent="0.25">
      <c r="A962" s="21"/>
      <c r="F962" s="1"/>
      <c r="G962" s="26"/>
      <c r="H962" s="18"/>
      <c r="I962" s="18"/>
      <c r="J962" s="30"/>
      <c r="K962" s="22" t="str">
        <f>+CONCATENATE(Tablo1710612131618202224[[#This Row],[DOSYA NO]],"_",Tablo1710612131618202224[[#This Row],[MÜŞTERİ ADI]],$P$10,"_",Tablo1710612131618202224[[#This Row],[İŞİN ADI]],"_",Tablo1710612131618202224[[#This Row],[İŞİN TÜRÜ]])</f>
        <v>___</v>
      </c>
    </row>
    <row r="963" spans="1:11" s="22" customFormat="1" ht="24.95" customHeight="1" x14ac:dyDescent="0.25">
      <c r="A963" s="21"/>
      <c r="F963" s="1"/>
      <c r="G963" s="26"/>
      <c r="H963" s="18"/>
      <c r="I963" s="18"/>
      <c r="J963" s="30"/>
      <c r="K963" s="22" t="str">
        <f>+CONCATENATE(Tablo1710612131618202224[[#This Row],[DOSYA NO]],"_",Tablo1710612131618202224[[#This Row],[MÜŞTERİ ADI]],$P$10,"_",Tablo1710612131618202224[[#This Row],[İŞİN ADI]],"_",Tablo1710612131618202224[[#This Row],[İŞİN TÜRÜ]])</f>
        <v>___</v>
      </c>
    </row>
    <row r="964" spans="1:11" s="22" customFormat="1" ht="24.95" customHeight="1" x14ac:dyDescent="0.25">
      <c r="A964" s="21"/>
      <c r="F964" s="1"/>
      <c r="G964" s="26"/>
      <c r="H964" s="18"/>
      <c r="I964" s="18"/>
      <c r="J964" s="30"/>
      <c r="K964" s="22" t="str">
        <f>+CONCATENATE(Tablo1710612131618202224[[#This Row],[DOSYA NO]],"_",Tablo1710612131618202224[[#This Row],[MÜŞTERİ ADI]],$P$10,"_",Tablo1710612131618202224[[#This Row],[İŞİN ADI]],"_",Tablo1710612131618202224[[#This Row],[İŞİN TÜRÜ]])</f>
        <v>___</v>
      </c>
    </row>
    <row r="965" spans="1:11" s="22" customFormat="1" ht="24.95" customHeight="1" x14ac:dyDescent="0.25">
      <c r="A965" s="21"/>
      <c r="F965" s="1"/>
      <c r="G965" s="26"/>
      <c r="H965" s="18"/>
      <c r="I965" s="18"/>
      <c r="J965" s="30"/>
      <c r="K965" s="22" t="str">
        <f>+CONCATENATE(Tablo1710612131618202224[[#This Row],[DOSYA NO]],"_",Tablo1710612131618202224[[#This Row],[MÜŞTERİ ADI]],$P$10,"_",Tablo1710612131618202224[[#This Row],[İŞİN ADI]],"_",Tablo1710612131618202224[[#This Row],[İŞİN TÜRÜ]])</f>
        <v>___</v>
      </c>
    </row>
    <row r="966" spans="1:11" s="22" customFormat="1" ht="24.95" customHeight="1" x14ac:dyDescent="0.25">
      <c r="A966" s="21"/>
      <c r="F966" s="1"/>
      <c r="G966" s="26"/>
      <c r="H966" s="18"/>
      <c r="I966" s="18"/>
      <c r="J966" s="30"/>
      <c r="K966" s="22" t="str">
        <f>+CONCATENATE(Tablo1710612131618202224[[#This Row],[DOSYA NO]],"_",Tablo1710612131618202224[[#This Row],[MÜŞTERİ ADI]],$P$10,"_",Tablo1710612131618202224[[#This Row],[İŞİN ADI]],"_",Tablo1710612131618202224[[#This Row],[İŞİN TÜRÜ]])</f>
        <v>___</v>
      </c>
    </row>
    <row r="967" spans="1:11" s="22" customFormat="1" ht="24.95" customHeight="1" x14ac:dyDescent="0.25">
      <c r="A967" s="21"/>
      <c r="F967" s="1"/>
      <c r="G967" s="26"/>
      <c r="H967" s="18"/>
      <c r="I967" s="18"/>
      <c r="J967" s="30"/>
      <c r="K967" s="22" t="str">
        <f>+CONCATENATE(Tablo1710612131618202224[[#This Row],[DOSYA NO]],"_",Tablo1710612131618202224[[#This Row],[MÜŞTERİ ADI]],$P$10,"_",Tablo1710612131618202224[[#This Row],[İŞİN ADI]],"_",Tablo1710612131618202224[[#This Row],[İŞİN TÜRÜ]])</f>
        <v>___</v>
      </c>
    </row>
    <row r="968" spans="1:11" s="22" customFormat="1" ht="24.95" customHeight="1" x14ac:dyDescent="0.25">
      <c r="A968" s="21"/>
      <c r="F968" s="1"/>
      <c r="G968" s="26"/>
      <c r="H968" s="18"/>
      <c r="I968" s="18"/>
      <c r="J968" s="30"/>
      <c r="K968" s="22" t="str">
        <f>+CONCATENATE(Tablo1710612131618202224[[#This Row],[DOSYA NO]],"_",Tablo1710612131618202224[[#This Row],[MÜŞTERİ ADI]],$P$10,"_",Tablo1710612131618202224[[#This Row],[İŞİN ADI]],"_",Tablo1710612131618202224[[#This Row],[İŞİN TÜRÜ]])</f>
        <v>___</v>
      </c>
    </row>
    <row r="969" spans="1:11" s="22" customFormat="1" ht="24.95" customHeight="1" x14ac:dyDescent="0.25">
      <c r="A969" s="21"/>
      <c r="F969" s="1"/>
      <c r="G969" s="26"/>
      <c r="H969" s="18"/>
      <c r="I969" s="18"/>
      <c r="J969" s="30"/>
      <c r="K969" s="22" t="str">
        <f>+CONCATENATE(Tablo1710612131618202224[[#This Row],[DOSYA NO]],"_",Tablo1710612131618202224[[#This Row],[MÜŞTERİ ADI]],$P$10,"_",Tablo1710612131618202224[[#This Row],[İŞİN ADI]],"_",Tablo1710612131618202224[[#This Row],[İŞİN TÜRÜ]])</f>
        <v>___</v>
      </c>
    </row>
    <row r="970" spans="1:11" s="22" customFormat="1" ht="24.95" customHeight="1" x14ac:dyDescent="0.25">
      <c r="A970" s="21"/>
      <c r="F970" s="1"/>
      <c r="G970" s="26"/>
      <c r="H970" s="18"/>
      <c r="I970" s="18"/>
      <c r="J970" s="30"/>
      <c r="K970" s="22" t="str">
        <f>+CONCATENATE(Tablo1710612131618202224[[#This Row],[DOSYA NO]],"_",Tablo1710612131618202224[[#This Row],[MÜŞTERİ ADI]],$P$10,"_",Tablo1710612131618202224[[#This Row],[İŞİN ADI]],"_",Tablo1710612131618202224[[#This Row],[İŞİN TÜRÜ]])</f>
        <v>___</v>
      </c>
    </row>
    <row r="971" spans="1:11" s="22" customFormat="1" ht="24.95" customHeight="1" x14ac:dyDescent="0.25">
      <c r="A971" s="21"/>
      <c r="F971" s="1"/>
      <c r="G971" s="26"/>
      <c r="H971" s="18"/>
      <c r="I971" s="18"/>
      <c r="J971" s="30"/>
      <c r="K971" s="22" t="str">
        <f>+CONCATENATE(Tablo1710612131618202224[[#This Row],[DOSYA NO]],"_",Tablo1710612131618202224[[#This Row],[MÜŞTERİ ADI]],$P$10,"_",Tablo1710612131618202224[[#This Row],[İŞİN ADI]],"_",Tablo1710612131618202224[[#This Row],[İŞİN TÜRÜ]])</f>
        <v>___</v>
      </c>
    </row>
    <row r="972" spans="1:11" s="22" customFormat="1" ht="24.95" customHeight="1" x14ac:dyDescent="0.25">
      <c r="A972" s="21"/>
      <c r="F972" s="1"/>
      <c r="G972" s="26"/>
      <c r="H972" s="18"/>
      <c r="I972" s="18"/>
      <c r="J972" s="30"/>
      <c r="K972" s="22" t="str">
        <f>+CONCATENATE(Tablo1710612131618202224[[#This Row],[DOSYA NO]],"_",Tablo1710612131618202224[[#This Row],[MÜŞTERİ ADI]],$P$10,"_",Tablo1710612131618202224[[#This Row],[İŞİN ADI]],"_",Tablo1710612131618202224[[#This Row],[İŞİN TÜRÜ]])</f>
        <v>___</v>
      </c>
    </row>
    <row r="973" spans="1:11" s="22" customFormat="1" ht="24.95" customHeight="1" x14ac:dyDescent="0.25">
      <c r="A973" s="21"/>
      <c r="F973" s="1"/>
      <c r="G973" s="26"/>
      <c r="H973" s="18"/>
      <c r="I973" s="18"/>
      <c r="J973" s="30"/>
      <c r="K973" s="22" t="str">
        <f>+CONCATENATE(Tablo1710612131618202224[[#This Row],[DOSYA NO]],"_",Tablo1710612131618202224[[#This Row],[MÜŞTERİ ADI]],$P$10,"_",Tablo1710612131618202224[[#This Row],[İŞİN ADI]],"_",Tablo1710612131618202224[[#This Row],[İŞİN TÜRÜ]])</f>
        <v>___</v>
      </c>
    </row>
    <row r="974" spans="1:11" s="22" customFormat="1" ht="24.95" customHeight="1" x14ac:dyDescent="0.25">
      <c r="A974" s="21"/>
      <c r="F974" s="1"/>
      <c r="G974" s="26"/>
      <c r="H974" s="18"/>
      <c r="I974" s="18"/>
      <c r="J974" s="30"/>
      <c r="K974" s="22" t="str">
        <f>+CONCATENATE(Tablo1710612131618202224[[#This Row],[DOSYA NO]],"_",Tablo1710612131618202224[[#This Row],[MÜŞTERİ ADI]],$P$10,"_",Tablo1710612131618202224[[#This Row],[İŞİN ADI]],"_",Tablo1710612131618202224[[#This Row],[İŞİN TÜRÜ]])</f>
        <v>___</v>
      </c>
    </row>
    <row r="975" spans="1:11" s="22" customFormat="1" ht="24.95" customHeight="1" x14ac:dyDescent="0.25">
      <c r="A975" s="21"/>
      <c r="F975" s="1"/>
      <c r="G975" s="26"/>
      <c r="H975" s="18"/>
      <c r="I975" s="18"/>
      <c r="J975" s="30"/>
      <c r="K975" s="22" t="str">
        <f>+CONCATENATE(Tablo1710612131618202224[[#This Row],[DOSYA NO]],"_",Tablo1710612131618202224[[#This Row],[MÜŞTERİ ADI]],$P$10,"_",Tablo1710612131618202224[[#This Row],[İŞİN ADI]],"_",Tablo1710612131618202224[[#This Row],[İŞİN TÜRÜ]])</f>
        <v>___</v>
      </c>
    </row>
    <row r="976" spans="1:11" s="22" customFormat="1" ht="24.95" customHeight="1" x14ac:dyDescent="0.25">
      <c r="A976" s="21"/>
      <c r="F976" s="1"/>
      <c r="G976" s="26"/>
      <c r="H976" s="18"/>
      <c r="I976" s="18"/>
      <c r="J976" s="30"/>
      <c r="K976" s="22" t="str">
        <f>+CONCATENATE(Tablo1710612131618202224[[#This Row],[DOSYA NO]],"_",Tablo1710612131618202224[[#This Row],[MÜŞTERİ ADI]],$P$10,"_",Tablo1710612131618202224[[#This Row],[İŞİN ADI]],"_",Tablo1710612131618202224[[#This Row],[İŞİN TÜRÜ]])</f>
        <v>___</v>
      </c>
    </row>
    <row r="977" spans="1:11" s="22" customFormat="1" ht="24.95" customHeight="1" x14ac:dyDescent="0.25">
      <c r="A977" s="21"/>
      <c r="F977" s="1"/>
      <c r="G977" s="26"/>
      <c r="H977" s="18"/>
      <c r="I977" s="18"/>
      <c r="J977" s="30"/>
      <c r="K977" s="22" t="str">
        <f>+CONCATENATE(Tablo1710612131618202224[[#This Row],[DOSYA NO]],"_",Tablo1710612131618202224[[#This Row],[MÜŞTERİ ADI]],$P$10,"_",Tablo1710612131618202224[[#This Row],[İŞİN ADI]],"_",Tablo1710612131618202224[[#This Row],[İŞİN TÜRÜ]])</f>
        <v>___</v>
      </c>
    </row>
    <row r="978" spans="1:11" s="22" customFormat="1" ht="24.95" customHeight="1" x14ac:dyDescent="0.25">
      <c r="A978" s="21"/>
      <c r="F978" s="1"/>
      <c r="G978" s="26"/>
      <c r="H978" s="18"/>
      <c r="I978" s="18"/>
      <c r="J978" s="30"/>
      <c r="K978" s="22" t="str">
        <f>+CONCATENATE(Tablo1710612131618202224[[#This Row],[DOSYA NO]],"_",Tablo1710612131618202224[[#This Row],[MÜŞTERİ ADI]],$P$10,"_",Tablo1710612131618202224[[#This Row],[İŞİN ADI]],"_",Tablo1710612131618202224[[#This Row],[İŞİN TÜRÜ]])</f>
        <v>___</v>
      </c>
    </row>
    <row r="979" spans="1:11" s="22" customFormat="1" ht="24.95" customHeight="1" x14ac:dyDescent="0.25">
      <c r="A979" s="21"/>
      <c r="F979" s="1"/>
      <c r="G979" s="26"/>
      <c r="H979" s="18"/>
      <c r="I979" s="18"/>
      <c r="J979" s="30"/>
      <c r="K979" s="22" t="str">
        <f>+CONCATENATE(Tablo1710612131618202224[[#This Row],[DOSYA NO]],"_",Tablo1710612131618202224[[#This Row],[MÜŞTERİ ADI]],$P$10,"_",Tablo1710612131618202224[[#This Row],[İŞİN ADI]],"_",Tablo1710612131618202224[[#This Row],[İŞİN TÜRÜ]])</f>
        <v>___</v>
      </c>
    </row>
    <row r="980" spans="1:11" s="22" customFormat="1" ht="24.95" customHeight="1" x14ac:dyDescent="0.25">
      <c r="A980" s="21"/>
      <c r="F980" s="1"/>
      <c r="G980" s="26"/>
      <c r="H980" s="18"/>
      <c r="I980" s="18"/>
      <c r="J980" s="30"/>
      <c r="K980" s="22" t="str">
        <f>+CONCATENATE(Tablo1710612131618202224[[#This Row],[DOSYA NO]],"_",Tablo1710612131618202224[[#This Row],[MÜŞTERİ ADI]],$P$10,"_",Tablo1710612131618202224[[#This Row],[İŞİN ADI]],"_",Tablo1710612131618202224[[#This Row],[İŞİN TÜRÜ]])</f>
        <v>___</v>
      </c>
    </row>
    <row r="981" spans="1:11" s="22" customFormat="1" ht="24.95" customHeight="1" x14ac:dyDescent="0.25">
      <c r="A981" s="21"/>
      <c r="F981" s="1"/>
      <c r="G981" s="26"/>
      <c r="H981" s="18"/>
      <c r="I981" s="18"/>
      <c r="J981" s="30"/>
      <c r="K981" s="22" t="str">
        <f>+CONCATENATE(Tablo1710612131618202224[[#This Row],[DOSYA NO]],"_",Tablo1710612131618202224[[#This Row],[MÜŞTERİ ADI]],$P$10,"_",Tablo1710612131618202224[[#This Row],[İŞİN ADI]],"_",Tablo1710612131618202224[[#This Row],[İŞİN TÜRÜ]])</f>
        <v>___</v>
      </c>
    </row>
    <row r="982" spans="1:11" s="22" customFormat="1" ht="24.95" customHeight="1" x14ac:dyDescent="0.25">
      <c r="A982" s="21"/>
      <c r="F982" s="1"/>
      <c r="G982" s="26"/>
      <c r="H982" s="18"/>
      <c r="I982" s="18"/>
      <c r="J982" s="30"/>
      <c r="K982" s="22" t="str">
        <f>+CONCATENATE(Tablo1710612131618202224[[#This Row],[DOSYA NO]],"_",Tablo1710612131618202224[[#This Row],[MÜŞTERİ ADI]],$P$10,"_",Tablo1710612131618202224[[#This Row],[İŞİN ADI]],"_",Tablo1710612131618202224[[#This Row],[İŞİN TÜRÜ]])</f>
        <v>___</v>
      </c>
    </row>
    <row r="983" spans="1:11" s="22" customFormat="1" ht="24.95" customHeight="1" x14ac:dyDescent="0.25">
      <c r="A983" s="21"/>
      <c r="F983" s="1"/>
      <c r="G983" s="26"/>
      <c r="H983" s="18"/>
      <c r="I983" s="18"/>
      <c r="J983" s="30"/>
      <c r="K983" s="22" t="str">
        <f>+CONCATENATE(Tablo1710612131618202224[[#This Row],[DOSYA NO]],"_",Tablo1710612131618202224[[#This Row],[MÜŞTERİ ADI]],$P$10,"_",Tablo1710612131618202224[[#This Row],[İŞİN ADI]],"_",Tablo1710612131618202224[[#This Row],[İŞİN TÜRÜ]])</f>
        <v>___</v>
      </c>
    </row>
    <row r="984" spans="1:11" s="22" customFormat="1" ht="24.95" customHeight="1" x14ac:dyDescent="0.25">
      <c r="A984" s="21"/>
      <c r="F984" s="1"/>
      <c r="G984" s="26"/>
      <c r="H984" s="18"/>
      <c r="I984" s="18"/>
      <c r="J984" s="30"/>
      <c r="K984" s="22" t="str">
        <f>+CONCATENATE(Tablo1710612131618202224[[#This Row],[DOSYA NO]],"_",Tablo1710612131618202224[[#This Row],[MÜŞTERİ ADI]],$P$10,"_",Tablo1710612131618202224[[#This Row],[İŞİN ADI]],"_",Tablo1710612131618202224[[#This Row],[İŞİN TÜRÜ]])</f>
        <v>___</v>
      </c>
    </row>
    <row r="985" spans="1:11" s="22" customFormat="1" ht="24.95" customHeight="1" x14ac:dyDescent="0.25">
      <c r="A985" s="21"/>
      <c r="F985" s="1"/>
      <c r="G985" s="26"/>
      <c r="H985" s="18"/>
      <c r="I985" s="18"/>
      <c r="J985" s="30"/>
      <c r="K985" s="22" t="str">
        <f>+CONCATENATE(Tablo1710612131618202224[[#This Row],[DOSYA NO]],"_",Tablo1710612131618202224[[#This Row],[MÜŞTERİ ADI]],$P$10,"_",Tablo1710612131618202224[[#This Row],[İŞİN ADI]],"_",Tablo1710612131618202224[[#This Row],[İŞİN TÜRÜ]])</f>
        <v>___</v>
      </c>
    </row>
    <row r="986" spans="1:11" s="22" customFormat="1" ht="24.95" customHeight="1" x14ac:dyDescent="0.25">
      <c r="A986" s="21"/>
      <c r="F986" s="1"/>
      <c r="G986" s="26"/>
      <c r="H986" s="18"/>
      <c r="I986" s="18"/>
      <c r="J986" s="30"/>
      <c r="K986" s="22" t="str">
        <f>+CONCATENATE(Tablo1710612131618202224[[#This Row],[DOSYA NO]],"_",Tablo1710612131618202224[[#This Row],[MÜŞTERİ ADI]],$P$10,"_",Tablo1710612131618202224[[#This Row],[İŞİN ADI]],"_",Tablo1710612131618202224[[#This Row],[İŞİN TÜRÜ]])</f>
        <v>___</v>
      </c>
    </row>
    <row r="987" spans="1:11" s="22" customFormat="1" ht="24.95" customHeight="1" x14ac:dyDescent="0.25">
      <c r="A987" s="21"/>
      <c r="F987" s="1"/>
      <c r="G987" s="26"/>
      <c r="H987" s="18"/>
      <c r="I987" s="18"/>
      <c r="J987" s="30"/>
      <c r="K987" s="22" t="str">
        <f>+CONCATENATE(Tablo1710612131618202224[[#This Row],[DOSYA NO]],"_",Tablo1710612131618202224[[#This Row],[MÜŞTERİ ADI]],$P$10,"_",Tablo1710612131618202224[[#This Row],[İŞİN ADI]],"_",Tablo1710612131618202224[[#This Row],[İŞİN TÜRÜ]])</f>
        <v>___</v>
      </c>
    </row>
    <row r="988" spans="1:11" s="22" customFormat="1" ht="24.95" customHeight="1" x14ac:dyDescent="0.25">
      <c r="A988" s="21"/>
      <c r="F988" s="1"/>
      <c r="G988" s="26"/>
      <c r="H988" s="18"/>
      <c r="I988" s="18"/>
      <c r="J988" s="30"/>
      <c r="K988" s="22" t="str">
        <f>+CONCATENATE(Tablo1710612131618202224[[#This Row],[DOSYA NO]],"_",Tablo1710612131618202224[[#This Row],[MÜŞTERİ ADI]],$P$10,"_",Tablo1710612131618202224[[#This Row],[İŞİN ADI]],"_",Tablo1710612131618202224[[#This Row],[İŞİN TÜRÜ]])</f>
        <v>___</v>
      </c>
    </row>
    <row r="989" spans="1:11" s="22" customFormat="1" ht="24.95" customHeight="1" x14ac:dyDescent="0.25">
      <c r="A989" s="21"/>
      <c r="F989" s="1"/>
      <c r="G989" s="26"/>
      <c r="H989" s="18"/>
      <c r="I989" s="18"/>
      <c r="J989" s="30"/>
      <c r="K989" s="22" t="str">
        <f>+CONCATENATE(Tablo1710612131618202224[[#This Row],[DOSYA NO]],"_",Tablo1710612131618202224[[#This Row],[MÜŞTERİ ADI]],$P$10,"_",Tablo1710612131618202224[[#This Row],[İŞİN ADI]],"_",Tablo1710612131618202224[[#This Row],[İŞİN TÜRÜ]])</f>
        <v>___</v>
      </c>
    </row>
    <row r="990" spans="1:11" s="22" customFormat="1" ht="24.95" customHeight="1" x14ac:dyDescent="0.25">
      <c r="A990" s="21"/>
      <c r="F990" s="1"/>
      <c r="G990" s="26"/>
      <c r="H990" s="18"/>
      <c r="I990" s="18"/>
      <c r="J990" s="30"/>
      <c r="K990" s="22" t="str">
        <f>+CONCATENATE(Tablo1710612131618202224[[#This Row],[DOSYA NO]],"_",Tablo1710612131618202224[[#This Row],[MÜŞTERİ ADI]],$P$10,"_",Tablo1710612131618202224[[#This Row],[İŞİN ADI]],"_",Tablo1710612131618202224[[#This Row],[İŞİN TÜRÜ]])</f>
        <v>___</v>
      </c>
    </row>
    <row r="991" spans="1:11" s="22" customFormat="1" ht="24.95" customHeight="1" x14ac:dyDescent="0.25">
      <c r="A991" s="21"/>
      <c r="F991" s="1"/>
      <c r="G991" s="26"/>
      <c r="H991" s="18"/>
      <c r="I991" s="18"/>
      <c r="J991" s="30"/>
      <c r="K991" s="22" t="str">
        <f>+CONCATENATE(Tablo1710612131618202224[[#This Row],[DOSYA NO]],"_",Tablo1710612131618202224[[#This Row],[MÜŞTERİ ADI]],$P$10,"_",Tablo1710612131618202224[[#This Row],[İŞİN ADI]],"_",Tablo1710612131618202224[[#This Row],[İŞİN TÜRÜ]])</f>
        <v>___</v>
      </c>
    </row>
    <row r="992" spans="1:11" s="22" customFormat="1" ht="24.95" customHeight="1" x14ac:dyDescent="0.25">
      <c r="A992" s="21"/>
      <c r="F992" s="1"/>
      <c r="G992" s="26"/>
      <c r="H992" s="18"/>
      <c r="I992" s="18"/>
      <c r="J992" s="30"/>
      <c r="K992" s="22" t="str">
        <f>+CONCATENATE(Tablo1710612131618202224[[#This Row],[DOSYA NO]],"_",Tablo1710612131618202224[[#This Row],[MÜŞTERİ ADI]],$P$10,"_",Tablo1710612131618202224[[#This Row],[İŞİN ADI]],"_",Tablo1710612131618202224[[#This Row],[İŞİN TÜRÜ]])</f>
        <v>___</v>
      </c>
    </row>
    <row r="993" spans="1:11" s="22" customFormat="1" ht="24.95" customHeight="1" x14ac:dyDescent="0.25">
      <c r="A993" s="21"/>
      <c r="F993" s="1"/>
      <c r="G993" s="26"/>
      <c r="H993" s="18"/>
      <c r="I993" s="18"/>
      <c r="J993" s="30"/>
      <c r="K993" s="22" t="str">
        <f>+CONCATENATE(Tablo1710612131618202224[[#This Row],[DOSYA NO]],"_",Tablo1710612131618202224[[#This Row],[MÜŞTERİ ADI]],$P$10,"_",Tablo1710612131618202224[[#This Row],[İŞİN ADI]],"_",Tablo1710612131618202224[[#This Row],[İŞİN TÜRÜ]])</f>
        <v>___</v>
      </c>
    </row>
    <row r="994" spans="1:11" s="22" customFormat="1" ht="24.95" customHeight="1" x14ac:dyDescent="0.25">
      <c r="A994" s="21"/>
      <c r="F994" s="1"/>
      <c r="G994" s="26"/>
      <c r="H994" s="18"/>
      <c r="I994" s="18"/>
      <c r="J994" s="30"/>
      <c r="K994" s="22" t="str">
        <f>+CONCATENATE(Tablo1710612131618202224[[#This Row],[DOSYA NO]],"_",Tablo1710612131618202224[[#This Row],[MÜŞTERİ ADI]],$P$10,"_",Tablo1710612131618202224[[#This Row],[İŞİN ADI]],"_",Tablo1710612131618202224[[#This Row],[İŞİN TÜRÜ]])</f>
        <v>___</v>
      </c>
    </row>
    <row r="995" spans="1:11" s="22" customFormat="1" ht="24.95" customHeight="1" x14ac:dyDescent="0.25">
      <c r="A995" s="21"/>
      <c r="F995" s="1"/>
      <c r="G995" s="26"/>
      <c r="H995" s="18"/>
      <c r="I995" s="18"/>
      <c r="J995" s="30"/>
      <c r="K995" s="22" t="str">
        <f>+CONCATENATE(Tablo1710612131618202224[[#This Row],[DOSYA NO]],"_",Tablo1710612131618202224[[#This Row],[MÜŞTERİ ADI]],$P$10,"_",Tablo1710612131618202224[[#This Row],[İŞİN ADI]],"_",Tablo1710612131618202224[[#This Row],[İŞİN TÜRÜ]])</f>
        <v>___</v>
      </c>
    </row>
    <row r="996" spans="1:11" s="22" customFormat="1" ht="24.95" customHeight="1" x14ac:dyDescent="0.25">
      <c r="A996" s="21"/>
      <c r="F996" s="1"/>
      <c r="G996" s="26"/>
      <c r="H996" s="18"/>
      <c r="I996" s="18"/>
      <c r="J996" s="30"/>
      <c r="K996" s="22" t="str">
        <f>+CONCATENATE(Tablo1710612131618202224[[#This Row],[DOSYA NO]],"_",Tablo1710612131618202224[[#This Row],[MÜŞTERİ ADI]],$P$10,"_",Tablo1710612131618202224[[#This Row],[İŞİN ADI]],"_",Tablo1710612131618202224[[#This Row],[İŞİN TÜRÜ]])</f>
        <v>___</v>
      </c>
    </row>
    <row r="997" spans="1:11" s="22" customFormat="1" ht="24.95" customHeight="1" x14ac:dyDescent="0.25">
      <c r="A997" s="21"/>
      <c r="F997" s="1"/>
      <c r="G997" s="26"/>
      <c r="H997" s="18"/>
      <c r="I997" s="18"/>
      <c r="J997" s="30"/>
      <c r="K997" s="22" t="str">
        <f>+CONCATENATE(Tablo1710612131618202224[[#This Row],[DOSYA NO]],"_",Tablo1710612131618202224[[#This Row],[MÜŞTERİ ADI]],$P$10,"_",Tablo1710612131618202224[[#This Row],[İŞİN ADI]],"_",Tablo1710612131618202224[[#This Row],[İŞİN TÜRÜ]])</f>
        <v>___</v>
      </c>
    </row>
    <row r="998" spans="1:11" s="22" customFormat="1" ht="24.95" customHeight="1" x14ac:dyDescent="0.25">
      <c r="A998" s="21"/>
      <c r="F998" s="1"/>
      <c r="G998" s="26"/>
      <c r="H998" s="18"/>
      <c r="I998" s="18"/>
      <c r="J998" s="30"/>
      <c r="K998" s="22" t="str">
        <f>+CONCATENATE(Tablo1710612131618202224[[#This Row],[DOSYA NO]],"_",Tablo1710612131618202224[[#This Row],[MÜŞTERİ ADI]],$P$10,"_",Tablo1710612131618202224[[#This Row],[İŞİN ADI]],"_",Tablo1710612131618202224[[#This Row],[İŞİN TÜRÜ]])</f>
        <v>___</v>
      </c>
    </row>
    <row r="999" spans="1:11" ht="24.95" customHeight="1" x14ac:dyDescent="0.3">
      <c r="A999" s="23" t="s">
        <v>75</v>
      </c>
      <c r="B999" s="23"/>
      <c r="C999" s="23"/>
      <c r="D999" s="23"/>
      <c r="E999" s="23"/>
      <c r="F999" s="24"/>
      <c r="G999" s="27">
        <f>SUBTOTAL(109,Tablo1710612131618202224[SATIŞ TUTARI])</f>
        <v>0</v>
      </c>
      <c r="H999" s="24"/>
      <c r="I999" s="24"/>
      <c r="J999" s="29"/>
    </row>
  </sheetData>
  <mergeCells count="1">
    <mergeCell ref="A8:J8"/>
  </mergeCells>
  <conditionalFormatting sqref="F10:F998">
    <cfRule type="cellIs" dxfId="46" priority="31" operator="equal">
      <formula>"BEKLEMEDE"</formula>
    </cfRule>
  </conditionalFormatting>
  <conditionalFormatting sqref="F10:G998">
    <cfRule type="cellIs" dxfId="45" priority="36" operator="equal">
      <formula>"DEVAM EDİYOR"</formula>
    </cfRule>
    <cfRule type="cellIs" dxfId="44" priority="37" operator="equal">
      <formula>"İPTAL EDİLDİ"</formula>
    </cfRule>
    <cfRule type="cellIs" dxfId="43" priority="38" operator="equal">
      <formula>"TESLİM EDİLDİ"</formula>
    </cfRule>
  </conditionalFormatting>
  <conditionalFormatting sqref="H10:J305 H306:H530 J306:J998">
    <cfRule type="containsText" dxfId="42" priority="34" operator="containsText" text="ÖDENMEDİ">
      <formula>NOT(ISERROR(SEARCH("ÖDENMEDİ",H10)))</formula>
    </cfRule>
    <cfRule type="containsText" dxfId="41" priority="35" operator="containsText" text="ÖDEME ALINDI">
      <formula>NOT(ISERROR(SEARCH("ÖDEME ALINDI",H10)))</formula>
    </cfRule>
  </conditionalFormatting>
  <conditionalFormatting sqref="I306:I530 H531:I998">
    <cfRule type="containsText" dxfId="40" priority="32" operator="containsText" text="ÖDENMEDİ">
      <formula>NOT(ISERROR(SEARCH("ÖDENMEDİ",H306)))</formula>
    </cfRule>
    <cfRule type="containsText" dxfId="39" priority="33" operator="containsText" text="ÖDEME ALINDI">
      <formula>NOT(ISERROR(SEARCH("ÖDEME ALINDI",H306)))</formula>
    </cfRule>
  </conditionalFormatting>
  <pageMargins left="0.7" right="0.7" top="0.75" bottom="0.75" header="0.3" footer="0.3"/>
  <pageSetup paperSize="9" scale="25" fitToHeight="0" orientation="portrait"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E025609A-0AEF-4A2D-9A5D-98BD215A3FAF}">
          <x14:formula1>
            <xm:f>DONE!$G$3:$G$4</xm:f>
          </x14:formula1>
          <xm:sqref>H10:H998</xm:sqref>
        </x14:dataValidation>
        <x14:dataValidation type="list" allowBlank="1" showInputMessage="1" showErrorMessage="1" xr:uid="{C39EA4A4-D133-45D4-8218-2E8FA7C226C1}">
          <x14:formula1>
            <xm:f>DONE!$F$3:$F$6</xm:f>
          </x14:formula1>
          <xm:sqref>F10:F998</xm:sqref>
        </x14:dataValidation>
        <x14:dataValidation type="list" allowBlank="1" showErrorMessage="1" xr:uid="{BCD993CB-7424-46EC-A935-B1EEF8C79AED}">
          <x14:formula1>
            <xm:f>DONE!$C$3:$C$112</xm:f>
          </x14:formula1>
          <xm:sqref>C10:C998</xm:sqref>
        </x14:dataValidation>
        <x14:dataValidation type="list" allowBlank="1" showInputMessage="1" showErrorMessage="1" xr:uid="{1A87BEC1-C5A0-4DB3-B4D8-9E2B3831EC8D}">
          <x14:formula1>
            <xm:f>DONE!$E$3:$E$12</xm:f>
          </x14:formula1>
          <xm:sqref>E10:E998</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12A42-E59A-4FCD-8676-741423404FC5}">
  <sheetPr codeName="Sayfa6">
    <tabColor theme="5" tint="0.39997558519241921"/>
    <pageSetUpPr fitToPage="1"/>
  </sheetPr>
  <dimension ref="A1:N998"/>
  <sheetViews>
    <sheetView zoomScale="80" zoomScaleNormal="80" workbookViewId="0">
      <pane ySplit="9" topLeftCell="A53" activePane="bottomLeft" state="frozen"/>
      <selection pane="bottomLeft" activeCell="C10" sqref="C10:C150"/>
    </sheetView>
  </sheetViews>
  <sheetFormatPr defaultRowHeight="15.75" x14ac:dyDescent="0.25"/>
  <cols>
    <col min="1" max="1" width="12.85546875" style="2" bestFit="1" customWidth="1"/>
    <col min="2" max="2" width="17.28515625" style="2" bestFit="1" customWidth="1"/>
    <col min="3" max="3" width="26" style="2" bestFit="1" customWidth="1"/>
    <col min="4" max="4" width="41.5703125" style="2" bestFit="1" customWidth="1"/>
    <col min="5" max="5" width="29.7109375" style="2" bestFit="1" customWidth="1"/>
    <col min="6" max="6" width="21.42578125" style="2" bestFit="1" customWidth="1"/>
    <col min="7" max="7" width="21.28515625" style="28" bestFit="1" customWidth="1"/>
    <col min="8" max="8" width="27.28515625" style="2" bestFit="1" customWidth="1"/>
    <col min="9" max="10" width="40.7109375" style="2" customWidth="1"/>
    <col min="11" max="11" width="48.7109375" style="2" bestFit="1" customWidth="1"/>
    <col min="12" max="12" width="9.140625" style="2"/>
    <col min="13" max="13" width="18.140625" style="2" bestFit="1" customWidth="1"/>
    <col min="14" max="14" width="17.28515625" style="2" bestFit="1" customWidth="1"/>
    <col min="15" max="16384" width="9.140625" style="2"/>
  </cols>
  <sheetData>
    <row r="1" spans="1:14" ht="24.95" customHeight="1" x14ac:dyDescent="0.25">
      <c r="G1" s="45"/>
      <c r="H1" s="45"/>
      <c r="I1" s="2" t="s">
        <v>247</v>
      </c>
    </row>
    <row r="2" spans="1:14" ht="24.95" customHeight="1" x14ac:dyDescent="0.25"/>
    <row r="3" spans="1:14" ht="24.95" customHeight="1" x14ac:dyDescent="0.25"/>
    <row r="4" spans="1:14" ht="24.95" customHeight="1" x14ac:dyDescent="0.25"/>
    <row r="5" spans="1:14" ht="24.95" customHeight="1" x14ac:dyDescent="0.25"/>
    <row r="6" spans="1:14" ht="24.95" customHeight="1" x14ac:dyDescent="0.25"/>
    <row r="7" spans="1:14" ht="24.95" customHeight="1" x14ac:dyDescent="0.25"/>
    <row r="8" spans="1:14" ht="71.25" customHeight="1" x14ac:dyDescent="0.25">
      <c r="A8" s="106" t="s">
        <v>248</v>
      </c>
      <c r="B8" s="106"/>
      <c r="C8" s="106"/>
      <c r="D8" s="106"/>
      <c r="E8" s="106"/>
      <c r="F8" s="106"/>
      <c r="G8" s="106"/>
      <c r="H8" s="106"/>
      <c r="I8" s="106"/>
      <c r="J8" s="106"/>
      <c r="K8" s="106"/>
    </row>
    <row r="9" spans="1:14" ht="24.95" customHeight="1" x14ac:dyDescent="0.25">
      <c r="A9" s="20" t="s">
        <v>1</v>
      </c>
      <c r="B9" s="20" t="s">
        <v>2</v>
      </c>
      <c r="C9" s="20" t="s">
        <v>30</v>
      </c>
      <c r="D9" s="20" t="s">
        <v>7</v>
      </c>
      <c r="E9" s="20" t="s">
        <v>3</v>
      </c>
      <c r="F9" s="20" t="s">
        <v>4</v>
      </c>
      <c r="G9" s="25" t="s">
        <v>73</v>
      </c>
      <c r="H9" s="20" t="s">
        <v>20</v>
      </c>
      <c r="I9" s="20" t="s">
        <v>270</v>
      </c>
      <c r="J9" s="20" t="s">
        <v>246</v>
      </c>
      <c r="K9" s="20" t="s">
        <v>369</v>
      </c>
    </row>
    <row r="10" spans="1:14" s="22" customFormat="1" ht="22.5" customHeight="1" x14ac:dyDescent="0.25">
      <c r="A10" s="21">
        <v>46028</v>
      </c>
      <c r="B10" s="22">
        <v>20260108</v>
      </c>
      <c r="D10" s="22" t="s">
        <v>263</v>
      </c>
      <c r="E10" s="22" t="s">
        <v>79</v>
      </c>
      <c r="F10" s="1" t="s">
        <v>5</v>
      </c>
      <c r="G10" s="26"/>
      <c r="H10" s="18" t="s">
        <v>27</v>
      </c>
      <c r="I10" s="53">
        <v>378.45</v>
      </c>
      <c r="J10" s="30"/>
      <c r="K10" s="78"/>
      <c r="M10" s="22" t="s">
        <v>5</v>
      </c>
      <c r="N10" s="22" t="s">
        <v>22</v>
      </c>
    </row>
    <row r="11" spans="1:14" s="22" customFormat="1" ht="24.95" customHeight="1" x14ac:dyDescent="0.25">
      <c r="A11" s="21">
        <v>46028</v>
      </c>
      <c r="B11" s="22">
        <v>20260117</v>
      </c>
      <c r="D11" s="22" t="s">
        <v>264</v>
      </c>
      <c r="E11" s="22" t="s">
        <v>79</v>
      </c>
      <c r="F11" s="1" t="s">
        <v>5</v>
      </c>
      <c r="G11" s="26"/>
      <c r="H11" s="18" t="s">
        <v>27</v>
      </c>
      <c r="I11" s="53">
        <v>359.7</v>
      </c>
      <c r="J11" s="30"/>
      <c r="K11" s="78"/>
      <c r="M11" s="22" t="s">
        <v>6</v>
      </c>
      <c r="N11" s="22" t="s">
        <v>27</v>
      </c>
    </row>
    <row r="12" spans="1:14" s="22" customFormat="1" ht="24.95" customHeight="1" x14ac:dyDescent="0.25">
      <c r="A12" s="21">
        <v>46028</v>
      </c>
      <c r="B12" s="22">
        <v>20260118</v>
      </c>
      <c r="D12" s="22" t="s">
        <v>265</v>
      </c>
      <c r="E12" s="22" t="s">
        <v>79</v>
      </c>
      <c r="F12" s="1" t="s">
        <v>5</v>
      </c>
      <c r="G12" s="26"/>
      <c r="H12" s="18" t="s">
        <v>27</v>
      </c>
      <c r="I12" s="53">
        <v>399.6</v>
      </c>
      <c r="J12" s="30"/>
      <c r="K12" s="78"/>
      <c r="M12" s="22" t="s">
        <v>14</v>
      </c>
    </row>
    <row r="13" spans="1:14" s="22" customFormat="1" ht="24.95" customHeight="1" x14ac:dyDescent="0.25">
      <c r="A13" s="21">
        <v>46028</v>
      </c>
      <c r="B13" s="22">
        <v>20260119</v>
      </c>
      <c r="D13" s="22" t="s">
        <v>271</v>
      </c>
      <c r="E13" s="22" t="s">
        <v>79</v>
      </c>
      <c r="F13" s="1" t="s">
        <v>5</v>
      </c>
      <c r="G13" s="26"/>
      <c r="H13" s="18" t="s">
        <v>27</v>
      </c>
      <c r="I13" s="53">
        <v>452.7</v>
      </c>
      <c r="J13" s="30"/>
      <c r="K13" s="78"/>
    </row>
    <row r="14" spans="1:14" s="22" customFormat="1" ht="24.95" customHeight="1" x14ac:dyDescent="0.25">
      <c r="A14" s="21">
        <v>46028</v>
      </c>
      <c r="B14" s="22">
        <v>20260120</v>
      </c>
      <c r="D14" s="22" t="s">
        <v>266</v>
      </c>
      <c r="E14" s="22" t="s">
        <v>79</v>
      </c>
      <c r="F14" s="1" t="s">
        <v>5</v>
      </c>
      <c r="G14" s="26"/>
      <c r="H14" s="18" t="s">
        <v>27</v>
      </c>
      <c r="I14" s="53">
        <v>364.05</v>
      </c>
      <c r="J14" s="30"/>
      <c r="K14" s="78"/>
    </row>
    <row r="15" spans="1:14" s="22" customFormat="1" ht="24.95" customHeight="1" x14ac:dyDescent="0.25">
      <c r="A15" s="21">
        <v>46028</v>
      </c>
      <c r="B15" s="22">
        <v>20260121</v>
      </c>
      <c r="D15" s="22" t="s">
        <v>267</v>
      </c>
      <c r="E15" s="22" t="s">
        <v>79</v>
      </c>
      <c r="F15" s="1" t="s">
        <v>5</v>
      </c>
      <c r="G15" s="26"/>
      <c r="H15" s="18" t="s">
        <v>27</v>
      </c>
      <c r="I15" s="53">
        <v>482.4</v>
      </c>
      <c r="J15" s="30"/>
      <c r="K15" s="78"/>
    </row>
    <row r="16" spans="1:14" s="22" customFormat="1" ht="24.95" customHeight="1" x14ac:dyDescent="0.25">
      <c r="A16" s="21">
        <v>46028</v>
      </c>
      <c r="B16" s="22">
        <v>20260122</v>
      </c>
      <c r="D16" s="22" t="s">
        <v>268</v>
      </c>
      <c r="E16" s="22" t="s">
        <v>79</v>
      </c>
      <c r="F16" s="1" t="s">
        <v>5</v>
      </c>
      <c r="G16" s="26"/>
      <c r="H16" s="18" t="s">
        <v>27</v>
      </c>
      <c r="I16" s="53">
        <v>445.2</v>
      </c>
      <c r="J16" s="30"/>
      <c r="K16" s="78"/>
    </row>
    <row r="17" spans="1:11" s="22" customFormat="1" ht="24.95" customHeight="1" x14ac:dyDescent="0.25">
      <c r="A17" s="21">
        <v>46028</v>
      </c>
      <c r="B17" s="22">
        <v>20260123</v>
      </c>
      <c r="D17" s="22" t="s">
        <v>269</v>
      </c>
      <c r="E17" s="22" t="s">
        <v>79</v>
      </c>
      <c r="F17" s="1" t="s">
        <v>5</v>
      </c>
      <c r="G17" s="26"/>
      <c r="H17" s="18" t="s">
        <v>27</v>
      </c>
      <c r="I17" s="53">
        <v>496.1</v>
      </c>
      <c r="J17" s="30"/>
      <c r="K17" s="78"/>
    </row>
    <row r="18" spans="1:11" s="22" customFormat="1" ht="24.95" customHeight="1" x14ac:dyDescent="0.25">
      <c r="A18" s="21">
        <v>46029</v>
      </c>
      <c r="B18" s="22">
        <v>20260149</v>
      </c>
      <c r="D18" s="22" t="s">
        <v>272</v>
      </c>
      <c r="E18" s="22" t="s">
        <v>79</v>
      </c>
      <c r="F18" s="1" t="s">
        <v>5</v>
      </c>
      <c r="G18" s="26"/>
      <c r="H18" s="18" t="s">
        <v>27</v>
      </c>
      <c r="I18" s="53">
        <v>13176.9</v>
      </c>
      <c r="J18" s="30"/>
      <c r="K18" s="78"/>
    </row>
    <row r="19" spans="1:11" s="22" customFormat="1" ht="24.95" customHeight="1" x14ac:dyDescent="0.25">
      <c r="A19" s="21">
        <v>46029</v>
      </c>
      <c r="B19" s="22">
        <v>20260151</v>
      </c>
      <c r="D19" s="22" t="s">
        <v>275</v>
      </c>
      <c r="E19" s="22" t="s">
        <v>79</v>
      </c>
      <c r="F19" s="1" t="s">
        <v>5</v>
      </c>
      <c r="G19" s="26"/>
      <c r="H19" s="18" t="s">
        <v>27</v>
      </c>
      <c r="I19" s="53">
        <v>6534.55</v>
      </c>
      <c r="J19" s="30"/>
      <c r="K19" s="78"/>
    </row>
    <row r="20" spans="1:11" s="22" customFormat="1" ht="24.95" customHeight="1" x14ac:dyDescent="0.25">
      <c r="A20" s="21">
        <v>46030</v>
      </c>
      <c r="B20" s="22">
        <v>20260153</v>
      </c>
      <c r="D20" s="22" t="s">
        <v>277</v>
      </c>
      <c r="E20" s="22" t="s">
        <v>79</v>
      </c>
      <c r="F20" s="1" t="s">
        <v>5</v>
      </c>
      <c r="G20" s="26"/>
      <c r="H20" s="18" t="s">
        <v>27</v>
      </c>
      <c r="I20" s="53">
        <v>453.15</v>
      </c>
      <c r="J20" s="30"/>
      <c r="K20" s="78"/>
    </row>
    <row r="21" spans="1:11" s="22" customFormat="1" ht="24.95" customHeight="1" x14ac:dyDescent="0.25">
      <c r="A21" s="21">
        <v>46030</v>
      </c>
      <c r="B21" s="22">
        <v>20260162</v>
      </c>
      <c r="D21" s="22" t="s">
        <v>279</v>
      </c>
      <c r="E21" s="22" t="s">
        <v>79</v>
      </c>
      <c r="F21" s="1" t="s">
        <v>5</v>
      </c>
      <c r="G21" s="26"/>
      <c r="H21" s="18" t="s">
        <v>27</v>
      </c>
      <c r="I21" s="53">
        <f>495.9+480.3</f>
        <v>976.2</v>
      </c>
      <c r="J21" s="30" t="s">
        <v>306</v>
      </c>
      <c r="K21" s="78"/>
    </row>
    <row r="22" spans="1:11" s="22" customFormat="1" ht="24.95" customHeight="1" x14ac:dyDescent="0.25">
      <c r="A22" s="21">
        <v>46031</v>
      </c>
      <c r="B22" s="22">
        <v>20260173</v>
      </c>
      <c r="D22" s="22" t="s">
        <v>281</v>
      </c>
      <c r="E22" s="22" t="s">
        <v>79</v>
      </c>
      <c r="F22" s="1" t="s">
        <v>5</v>
      </c>
      <c r="G22" s="26"/>
      <c r="H22" s="18" t="s">
        <v>27</v>
      </c>
      <c r="I22" s="53">
        <v>360.8</v>
      </c>
      <c r="J22" s="30"/>
      <c r="K22" s="78"/>
    </row>
    <row r="23" spans="1:11" s="22" customFormat="1" ht="24.95" customHeight="1" x14ac:dyDescent="0.25">
      <c r="A23" s="21">
        <v>46031</v>
      </c>
      <c r="B23" s="22">
        <v>20260174</v>
      </c>
      <c r="D23" s="22" t="s">
        <v>282</v>
      </c>
      <c r="E23" s="22" t="s">
        <v>79</v>
      </c>
      <c r="F23" s="1" t="s">
        <v>5</v>
      </c>
      <c r="G23" s="26"/>
      <c r="H23" s="18" t="s">
        <v>27</v>
      </c>
      <c r="I23" s="53">
        <v>330.8</v>
      </c>
      <c r="J23" s="30"/>
      <c r="K23" s="78"/>
    </row>
    <row r="24" spans="1:11" s="22" customFormat="1" ht="24.95" customHeight="1" x14ac:dyDescent="0.25">
      <c r="A24" s="21">
        <v>46032</v>
      </c>
      <c r="B24" s="22">
        <v>20260150</v>
      </c>
      <c r="D24" s="22" t="s">
        <v>274</v>
      </c>
      <c r="E24" s="22" t="s">
        <v>79</v>
      </c>
      <c r="F24" s="1" t="s">
        <v>5</v>
      </c>
      <c r="G24" s="26"/>
      <c r="H24" s="18" t="s">
        <v>27</v>
      </c>
      <c r="I24" s="53">
        <f>589.2*4</f>
        <v>2356.8000000000002</v>
      </c>
      <c r="J24" s="30"/>
      <c r="K24" s="78"/>
    </row>
    <row r="25" spans="1:11" s="22" customFormat="1" ht="24.95" customHeight="1" x14ac:dyDescent="0.25">
      <c r="A25" s="21">
        <v>46035</v>
      </c>
      <c r="B25" s="22">
        <v>202601118</v>
      </c>
      <c r="D25" s="22" t="s">
        <v>287</v>
      </c>
      <c r="E25" s="22" t="s">
        <v>79</v>
      </c>
      <c r="F25" s="1" t="s">
        <v>15</v>
      </c>
      <c r="G25" s="26"/>
      <c r="H25" s="18" t="s">
        <v>27</v>
      </c>
      <c r="I25" s="53">
        <f>397.5+345+455</f>
        <v>1197.5</v>
      </c>
      <c r="J25" s="30"/>
      <c r="K25" s="78"/>
    </row>
    <row r="26" spans="1:11" s="22" customFormat="1" ht="24.95" customHeight="1" x14ac:dyDescent="0.25">
      <c r="A26" s="21">
        <v>46035</v>
      </c>
      <c r="B26" s="22">
        <v>202601121</v>
      </c>
      <c r="D26" s="22" t="s">
        <v>289</v>
      </c>
      <c r="E26" s="22" t="s">
        <v>79</v>
      </c>
      <c r="F26" s="1" t="s">
        <v>5</v>
      </c>
      <c r="G26" s="26"/>
      <c r="H26" s="18" t="s">
        <v>27</v>
      </c>
      <c r="I26" s="53">
        <v>572.70000000000005</v>
      </c>
      <c r="J26" s="30"/>
      <c r="K26" s="78"/>
    </row>
    <row r="27" spans="1:11" s="22" customFormat="1" ht="24.95" customHeight="1" x14ac:dyDescent="0.25">
      <c r="A27" s="21">
        <v>46035</v>
      </c>
      <c r="B27" s="22">
        <v>202601122</v>
      </c>
      <c r="D27" s="22" t="s">
        <v>288</v>
      </c>
      <c r="E27" s="22" t="s">
        <v>79</v>
      </c>
      <c r="F27" s="1" t="s">
        <v>5</v>
      </c>
      <c r="G27" s="26"/>
      <c r="H27" s="18" t="s">
        <v>27</v>
      </c>
      <c r="I27" s="53">
        <v>352.5</v>
      </c>
      <c r="J27" s="30"/>
      <c r="K27" s="78"/>
    </row>
    <row r="28" spans="1:11" s="22" customFormat="1" ht="24.95" customHeight="1" x14ac:dyDescent="0.25">
      <c r="A28" s="21">
        <v>46036</v>
      </c>
      <c r="B28" s="22">
        <v>202601145</v>
      </c>
      <c r="D28" s="22" t="s">
        <v>292</v>
      </c>
      <c r="E28" s="22" t="s">
        <v>79</v>
      </c>
      <c r="F28" s="1" t="s">
        <v>5</v>
      </c>
      <c r="G28" s="26"/>
      <c r="H28" s="18" t="s">
        <v>27</v>
      </c>
      <c r="I28" s="53">
        <f>529.8+529.8</f>
        <v>1059.5999999999999</v>
      </c>
      <c r="J28" s="30"/>
      <c r="K28" s="78"/>
    </row>
    <row r="29" spans="1:11" s="22" customFormat="1" ht="24.95" customHeight="1" x14ac:dyDescent="0.25">
      <c r="A29" s="21">
        <v>46036</v>
      </c>
      <c r="B29" s="22">
        <v>202601146</v>
      </c>
      <c r="D29" s="22" t="s">
        <v>293</v>
      </c>
      <c r="E29" s="22" t="s">
        <v>92</v>
      </c>
      <c r="F29" s="1" t="s">
        <v>5</v>
      </c>
      <c r="G29" s="26"/>
      <c r="H29" s="18" t="s">
        <v>27</v>
      </c>
      <c r="I29" s="53"/>
      <c r="J29" s="30"/>
      <c r="K29" s="78"/>
    </row>
    <row r="30" spans="1:11" s="22" customFormat="1" ht="24.95" customHeight="1" x14ac:dyDescent="0.25">
      <c r="A30" s="21">
        <v>46036</v>
      </c>
      <c r="B30" s="22">
        <v>202601130</v>
      </c>
      <c r="D30" s="22" t="s">
        <v>294</v>
      </c>
      <c r="E30" s="22" t="s">
        <v>79</v>
      </c>
      <c r="F30" s="1" t="s">
        <v>5</v>
      </c>
      <c r="G30" s="26"/>
      <c r="H30" s="18" t="s">
        <v>27</v>
      </c>
      <c r="I30" s="53">
        <v>534.4</v>
      </c>
      <c r="J30" s="30"/>
      <c r="K30" s="78"/>
    </row>
    <row r="31" spans="1:11" s="22" customFormat="1" ht="24.95" customHeight="1" x14ac:dyDescent="0.25">
      <c r="A31" s="21">
        <v>46037</v>
      </c>
      <c r="B31" s="22">
        <v>202601144</v>
      </c>
      <c r="D31" s="22" t="s">
        <v>296</v>
      </c>
      <c r="E31" s="22" t="s">
        <v>79</v>
      </c>
      <c r="F31" s="1" t="s">
        <v>5</v>
      </c>
      <c r="G31" s="26"/>
      <c r="H31" s="18" t="s">
        <v>27</v>
      </c>
      <c r="I31" s="53">
        <f>780.3+768.8+470</f>
        <v>2019.1</v>
      </c>
      <c r="J31" s="30"/>
      <c r="K31" s="78"/>
    </row>
    <row r="32" spans="1:11" s="22" customFormat="1" ht="24.95" customHeight="1" x14ac:dyDescent="0.25">
      <c r="A32" s="21">
        <v>46037</v>
      </c>
      <c r="B32" s="22">
        <v>202601161</v>
      </c>
      <c r="D32" s="22" t="s">
        <v>297</v>
      </c>
      <c r="E32" s="22" t="s">
        <v>79</v>
      </c>
      <c r="F32" s="1" t="s">
        <v>5</v>
      </c>
      <c r="G32" s="26"/>
      <c r="H32" s="18" t="s">
        <v>27</v>
      </c>
      <c r="I32" s="53">
        <v>399.75</v>
      </c>
      <c r="J32" s="30"/>
      <c r="K32" s="78"/>
    </row>
    <row r="33" spans="1:11" s="22" customFormat="1" ht="24.95" customHeight="1" x14ac:dyDescent="0.25">
      <c r="A33" s="21">
        <v>46037</v>
      </c>
      <c r="B33" s="22">
        <v>202601162</v>
      </c>
      <c r="D33" s="22" t="s">
        <v>298</v>
      </c>
      <c r="E33" s="22" t="s">
        <v>79</v>
      </c>
      <c r="F33" s="1" t="s">
        <v>5</v>
      </c>
      <c r="G33" s="26"/>
      <c r="H33" s="18" t="s">
        <v>27</v>
      </c>
      <c r="I33" s="53">
        <f>372+361.1</f>
        <v>733.1</v>
      </c>
      <c r="J33" s="30"/>
      <c r="K33" s="78"/>
    </row>
    <row r="34" spans="1:11" s="22" customFormat="1" ht="24.95" customHeight="1" x14ac:dyDescent="0.25">
      <c r="A34" s="21">
        <v>46038</v>
      </c>
      <c r="B34" s="22">
        <v>202601159</v>
      </c>
      <c r="D34" s="22" t="s">
        <v>301</v>
      </c>
      <c r="E34" s="22" t="s">
        <v>79</v>
      </c>
      <c r="F34" s="1" t="s">
        <v>5</v>
      </c>
      <c r="G34" s="26"/>
      <c r="H34" s="18" t="s">
        <v>27</v>
      </c>
      <c r="I34" s="53">
        <v>17981.3</v>
      </c>
      <c r="J34" s="30" t="s">
        <v>302</v>
      </c>
      <c r="K34" s="78"/>
    </row>
    <row r="35" spans="1:11" s="22" customFormat="1" ht="24.95" customHeight="1" x14ac:dyDescent="0.25">
      <c r="A35" s="21">
        <v>46038</v>
      </c>
      <c r="B35" s="22">
        <v>202601165</v>
      </c>
      <c r="D35" s="22" t="s">
        <v>300</v>
      </c>
      <c r="E35" s="22" t="s">
        <v>79</v>
      </c>
      <c r="F35" s="1" t="s">
        <v>14</v>
      </c>
      <c r="G35" s="26"/>
      <c r="H35" s="18"/>
      <c r="I35" s="53"/>
      <c r="J35" s="30"/>
      <c r="K35" s="78"/>
    </row>
    <row r="36" spans="1:11" s="22" customFormat="1" ht="24.95" customHeight="1" x14ac:dyDescent="0.25">
      <c r="A36" s="21">
        <v>46041</v>
      </c>
      <c r="B36" s="22">
        <v>202601181</v>
      </c>
      <c r="D36" s="22" t="s">
        <v>303</v>
      </c>
      <c r="E36" s="22" t="s">
        <v>79</v>
      </c>
      <c r="F36" s="1" t="s">
        <v>14</v>
      </c>
      <c r="G36" s="26"/>
      <c r="H36" s="18"/>
      <c r="I36" s="53"/>
      <c r="J36" s="30"/>
      <c r="K36" s="78"/>
    </row>
    <row r="37" spans="1:11" s="22" customFormat="1" ht="24.95" customHeight="1" x14ac:dyDescent="0.25">
      <c r="A37" s="21">
        <v>46041</v>
      </c>
      <c r="B37" s="22">
        <v>202601193</v>
      </c>
      <c r="D37" s="22" t="s">
        <v>305</v>
      </c>
      <c r="E37" s="22" t="s">
        <v>79</v>
      </c>
      <c r="F37" s="1" t="s">
        <v>5</v>
      </c>
      <c r="G37" s="26"/>
      <c r="H37" s="18" t="s">
        <v>27</v>
      </c>
      <c r="I37" s="53">
        <v>494.4</v>
      </c>
      <c r="J37" s="30"/>
      <c r="K37" s="78"/>
    </row>
    <row r="38" spans="1:11" s="22" customFormat="1" ht="24.95" customHeight="1" x14ac:dyDescent="0.25">
      <c r="A38" s="21">
        <v>46042</v>
      </c>
      <c r="B38" s="22">
        <v>20260177</v>
      </c>
      <c r="D38" s="22" t="s">
        <v>283</v>
      </c>
      <c r="E38" s="22" t="s">
        <v>79</v>
      </c>
      <c r="F38" s="1" t="s">
        <v>5</v>
      </c>
      <c r="G38" s="26"/>
      <c r="H38" s="18" t="s">
        <v>27</v>
      </c>
      <c r="I38" s="53">
        <v>654.9</v>
      </c>
      <c r="J38" s="31"/>
      <c r="K38" s="78"/>
    </row>
    <row r="39" spans="1:11" s="22" customFormat="1" ht="24.95" customHeight="1" x14ac:dyDescent="0.25">
      <c r="A39" s="21">
        <v>46042</v>
      </c>
      <c r="B39" s="22">
        <v>20260178</v>
      </c>
      <c r="D39" s="22" t="s">
        <v>284</v>
      </c>
      <c r="E39" s="22" t="s">
        <v>79</v>
      </c>
      <c r="F39" s="1" t="s">
        <v>5</v>
      </c>
      <c r="G39" s="26"/>
      <c r="H39" s="18" t="s">
        <v>27</v>
      </c>
      <c r="I39" s="53">
        <v>357</v>
      </c>
      <c r="J39" s="30"/>
      <c r="K39" s="78"/>
    </row>
    <row r="40" spans="1:11" s="22" customFormat="1" ht="24.95" customHeight="1" x14ac:dyDescent="0.25">
      <c r="A40" s="21">
        <v>46042</v>
      </c>
      <c r="B40" s="22">
        <v>202601215</v>
      </c>
      <c r="D40" s="22" t="s">
        <v>307</v>
      </c>
      <c r="E40" s="22" t="s">
        <v>79</v>
      </c>
      <c r="F40" s="1" t="s">
        <v>5</v>
      </c>
      <c r="G40" s="26"/>
      <c r="H40" s="18" t="s">
        <v>27</v>
      </c>
      <c r="I40" s="53">
        <v>441.4</v>
      </c>
      <c r="J40" s="30"/>
      <c r="K40" s="78"/>
    </row>
    <row r="41" spans="1:11" s="22" customFormat="1" ht="24.95" customHeight="1" x14ac:dyDescent="0.25">
      <c r="A41" s="21">
        <v>46042</v>
      </c>
      <c r="B41" s="22">
        <v>202601216</v>
      </c>
      <c r="D41" s="22" t="s">
        <v>308</v>
      </c>
      <c r="E41" s="22" t="s">
        <v>79</v>
      </c>
      <c r="F41" s="1" t="s">
        <v>5</v>
      </c>
      <c r="G41" s="26"/>
      <c r="H41" s="18" t="s">
        <v>27</v>
      </c>
      <c r="I41" s="53">
        <v>438.4</v>
      </c>
      <c r="J41" s="30" t="s">
        <v>332</v>
      </c>
      <c r="K41" s="78"/>
    </row>
    <row r="42" spans="1:11" s="22" customFormat="1" ht="24.95" customHeight="1" x14ac:dyDescent="0.25">
      <c r="A42" s="21">
        <v>46042</v>
      </c>
      <c r="B42" s="22">
        <v>202601217</v>
      </c>
      <c r="D42" s="22" t="s">
        <v>309</v>
      </c>
      <c r="E42" s="22" t="s">
        <v>79</v>
      </c>
      <c r="F42" s="1" t="s">
        <v>15</v>
      </c>
      <c r="G42" s="26"/>
      <c r="H42" s="18" t="s">
        <v>27</v>
      </c>
      <c r="I42" s="53">
        <v>504.5</v>
      </c>
      <c r="J42" s="30"/>
      <c r="K42" s="78"/>
    </row>
    <row r="43" spans="1:11" s="22" customFormat="1" ht="24.95" customHeight="1" x14ac:dyDescent="0.25">
      <c r="A43" s="21">
        <v>46042</v>
      </c>
      <c r="B43" s="22">
        <v>202601218</v>
      </c>
      <c r="D43" s="22" t="s">
        <v>310</v>
      </c>
      <c r="E43" s="22" t="s">
        <v>79</v>
      </c>
      <c r="F43" s="1" t="s">
        <v>5</v>
      </c>
      <c r="G43" s="26"/>
      <c r="H43" s="18" t="s">
        <v>27</v>
      </c>
      <c r="I43" s="53">
        <v>497.8</v>
      </c>
      <c r="J43" s="30"/>
      <c r="K43" s="78"/>
    </row>
    <row r="44" spans="1:11" s="22" customFormat="1" ht="24.95" customHeight="1" x14ac:dyDescent="0.25">
      <c r="A44" s="21">
        <v>46042</v>
      </c>
      <c r="B44" s="22">
        <v>202601222</v>
      </c>
      <c r="D44" s="22" t="s">
        <v>311</v>
      </c>
      <c r="E44" s="22" t="s">
        <v>79</v>
      </c>
      <c r="F44" s="1" t="s">
        <v>5</v>
      </c>
      <c r="G44" s="26"/>
      <c r="H44" s="18" t="s">
        <v>27</v>
      </c>
      <c r="I44" s="53">
        <v>500.7</v>
      </c>
      <c r="J44" s="30"/>
      <c r="K44" s="78"/>
    </row>
    <row r="45" spans="1:11" s="22" customFormat="1" ht="24.95" customHeight="1" x14ac:dyDescent="0.25">
      <c r="A45" s="21">
        <v>46042</v>
      </c>
      <c r="B45" s="22">
        <v>202601223</v>
      </c>
      <c r="D45" s="22" t="s">
        <v>312</v>
      </c>
      <c r="E45" s="22" t="s">
        <v>79</v>
      </c>
      <c r="F45" s="1" t="s">
        <v>5</v>
      </c>
      <c r="G45" s="26"/>
      <c r="H45" s="18" t="s">
        <v>27</v>
      </c>
      <c r="I45" s="53">
        <v>503</v>
      </c>
      <c r="J45" s="30"/>
      <c r="K45" s="78"/>
    </row>
    <row r="46" spans="1:11" s="22" customFormat="1" ht="24.95" customHeight="1" x14ac:dyDescent="0.25">
      <c r="A46" s="21">
        <v>46043</v>
      </c>
      <c r="B46" s="22">
        <v>202601234</v>
      </c>
      <c r="D46" s="22" t="s">
        <v>313</v>
      </c>
      <c r="E46" s="22" t="s">
        <v>79</v>
      </c>
      <c r="F46" s="1" t="s">
        <v>5</v>
      </c>
      <c r="G46" s="26"/>
      <c r="H46" s="18" t="s">
        <v>27</v>
      </c>
      <c r="I46" s="53">
        <v>400.5</v>
      </c>
      <c r="J46" s="30"/>
      <c r="K46" s="78"/>
    </row>
    <row r="47" spans="1:11" s="22" customFormat="1" ht="24.95" customHeight="1" x14ac:dyDescent="0.25">
      <c r="A47" s="21">
        <v>46045</v>
      </c>
      <c r="B47" s="22">
        <v>202601247</v>
      </c>
      <c r="D47" s="22" t="s">
        <v>314</v>
      </c>
      <c r="E47" s="22" t="s">
        <v>79</v>
      </c>
      <c r="F47" s="1" t="s">
        <v>5</v>
      </c>
      <c r="G47" s="26"/>
      <c r="H47" s="18" t="s">
        <v>27</v>
      </c>
      <c r="I47" s="53">
        <v>473.5</v>
      </c>
      <c r="J47" s="30"/>
      <c r="K47" s="78"/>
    </row>
    <row r="48" spans="1:11" s="22" customFormat="1" ht="24.95" customHeight="1" x14ac:dyDescent="0.25">
      <c r="A48" s="21">
        <v>46045</v>
      </c>
      <c r="B48" s="22">
        <v>202601248</v>
      </c>
      <c r="D48" s="22" t="s">
        <v>315</v>
      </c>
      <c r="E48" s="22" t="s">
        <v>79</v>
      </c>
      <c r="F48" s="1" t="s">
        <v>5</v>
      </c>
      <c r="G48" s="26"/>
      <c r="H48" s="18" t="s">
        <v>27</v>
      </c>
      <c r="I48" s="53">
        <v>556.79999999999995</v>
      </c>
      <c r="J48" s="30"/>
      <c r="K48" s="78"/>
    </row>
    <row r="49" spans="1:11" s="22" customFormat="1" ht="24.95" customHeight="1" x14ac:dyDescent="0.25">
      <c r="A49" s="21">
        <v>46045</v>
      </c>
      <c r="B49" s="22">
        <v>202601250</v>
      </c>
      <c r="D49" s="22" t="s">
        <v>319</v>
      </c>
      <c r="E49" s="22" t="s">
        <v>79</v>
      </c>
      <c r="F49" s="1" t="s">
        <v>5</v>
      </c>
      <c r="G49" s="26"/>
      <c r="H49" s="18" t="s">
        <v>27</v>
      </c>
      <c r="I49" s="53">
        <v>355.5</v>
      </c>
      <c r="J49" s="30"/>
      <c r="K49" s="78"/>
    </row>
    <row r="50" spans="1:11" s="22" customFormat="1" ht="24.95" customHeight="1" x14ac:dyDescent="0.25">
      <c r="A50" s="21">
        <v>46048</v>
      </c>
      <c r="B50" s="22">
        <v>202601274</v>
      </c>
      <c r="D50" s="22" t="s">
        <v>320</v>
      </c>
      <c r="E50" s="22" t="s">
        <v>79</v>
      </c>
      <c r="F50" s="1" t="s">
        <v>5</v>
      </c>
      <c r="G50" s="26"/>
      <c r="H50" s="18" t="s">
        <v>27</v>
      </c>
      <c r="I50" s="53">
        <v>512.9</v>
      </c>
      <c r="J50" s="30"/>
      <c r="K50" s="78"/>
    </row>
    <row r="51" spans="1:11" s="22" customFormat="1" ht="24.95" customHeight="1" x14ac:dyDescent="0.25">
      <c r="A51" s="21">
        <v>46049</v>
      </c>
      <c r="B51" s="22">
        <v>202601277</v>
      </c>
      <c r="D51" s="22" t="s">
        <v>323</v>
      </c>
      <c r="E51" s="22" t="s">
        <v>79</v>
      </c>
      <c r="F51" s="1" t="s">
        <v>5</v>
      </c>
      <c r="G51" s="26"/>
      <c r="H51" s="18" t="s">
        <v>27</v>
      </c>
      <c r="I51" s="53">
        <v>571.4</v>
      </c>
      <c r="J51" s="30"/>
      <c r="K51" s="78"/>
    </row>
    <row r="52" spans="1:11" s="22" customFormat="1" ht="24.95" customHeight="1" x14ac:dyDescent="0.25">
      <c r="A52" s="21">
        <v>46049</v>
      </c>
      <c r="B52" s="22">
        <v>202601283</v>
      </c>
      <c r="D52" s="22" t="s">
        <v>324</v>
      </c>
      <c r="E52" s="22" t="s">
        <v>79</v>
      </c>
      <c r="F52" s="1" t="s">
        <v>5</v>
      </c>
      <c r="G52" s="26"/>
      <c r="H52" s="18" t="s">
        <v>27</v>
      </c>
      <c r="I52" s="53">
        <v>355.5</v>
      </c>
      <c r="J52" s="30"/>
      <c r="K52" s="78"/>
    </row>
    <row r="53" spans="1:11" s="22" customFormat="1" ht="24.95" customHeight="1" x14ac:dyDescent="0.25">
      <c r="A53" s="21">
        <v>46049</v>
      </c>
      <c r="B53" s="22">
        <v>202601284</v>
      </c>
      <c r="D53" s="22" t="s">
        <v>326</v>
      </c>
      <c r="E53" s="22" t="s">
        <v>79</v>
      </c>
      <c r="F53" s="1" t="s">
        <v>5</v>
      </c>
      <c r="G53" s="26"/>
      <c r="H53" s="18" t="s">
        <v>27</v>
      </c>
      <c r="I53" s="53">
        <v>525.70000000000005</v>
      </c>
      <c r="J53" s="30" t="s">
        <v>332</v>
      </c>
      <c r="K53" s="78"/>
    </row>
    <row r="54" spans="1:11" s="22" customFormat="1" ht="24.95" customHeight="1" x14ac:dyDescent="0.25">
      <c r="A54" s="21">
        <v>46049</v>
      </c>
      <c r="B54" s="22">
        <v>202601285</v>
      </c>
      <c r="D54" s="22" t="s">
        <v>327</v>
      </c>
      <c r="E54" s="22" t="s">
        <v>79</v>
      </c>
      <c r="F54" s="1" t="s">
        <v>5</v>
      </c>
      <c r="G54" s="26"/>
      <c r="H54" s="18" t="s">
        <v>27</v>
      </c>
      <c r="I54" s="53">
        <v>492.4</v>
      </c>
      <c r="J54" s="30" t="s">
        <v>332</v>
      </c>
      <c r="K54" s="78"/>
    </row>
    <row r="55" spans="1:11" s="22" customFormat="1" ht="24.95" customHeight="1" x14ac:dyDescent="0.25">
      <c r="A55" s="21">
        <v>46049</v>
      </c>
      <c r="B55" s="22">
        <v>202601276</v>
      </c>
      <c r="D55" s="22" t="s">
        <v>322</v>
      </c>
      <c r="E55" s="22" t="s">
        <v>79</v>
      </c>
      <c r="F55" s="1" t="s">
        <v>5</v>
      </c>
      <c r="G55" s="26"/>
      <c r="H55" s="18" t="s">
        <v>27</v>
      </c>
      <c r="I55" s="53">
        <v>11300.9</v>
      </c>
      <c r="J55" s="30" t="s">
        <v>302</v>
      </c>
      <c r="K55" s="78"/>
    </row>
    <row r="56" spans="1:11" s="22" customFormat="1" ht="24.95" customHeight="1" x14ac:dyDescent="0.25">
      <c r="A56" s="21">
        <v>46050</v>
      </c>
      <c r="B56" s="22">
        <v>202601316</v>
      </c>
      <c r="D56" s="22" t="s">
        <v>329</v>
      </c>
      <c r="E56" s="22" t="s">
        <v>79</v>
      </c>
      <c r="F56" s="1" t="s">
        <v>5</v>
      </c>
      <c r="G56" s="26"/>
      <c r="H56" s="18" t="s">
        <v>27</v>
      </c>
      <c r="I56" s="53">
        <v>596.4</v>
      </c>
      <c r="J56" s="30" t="s">
        <v>332</v>
      </c>
      <c r="K56" s="78"/>
    </row>
    <row r="57" spans="1:11" s="22" customFormat="1" ht="24.95" customHeight="1" x14ac:dyDescent="0.25">
      <c r="A57" s="21">
        <v>46050</v>
      </c>
      <c r="B57" s="22">
        <v>202601326</v>
      </c>
      <c r="D57" s="22" t="s">
        <v>331</v>
      </c>
      <c r="E57" s="22" t="s">
        <v>79</v>
      </c>
      <c r="F57" s="1" t="s">
        <v>5</v>
      </c>
      <c r="G57" s="26"/>
      <c r="H57" s="18" t="s">
        <v>27</v>
      </c>
      <c r="I57" s="53">
        <v>527.95000000000005</v>
      </c>
      <c r="J57" s="30" t="s">
        <v>332</v>
      </c>
      <c r="K57" s="78"/>
    </row>
    <row r="58" spans="1:11" s="22" customFormat="1" ht="24.95" customHeight="1" x14ac:dyDescent="0.25">
      <c r="A58" s="21">
        <v>46050</v>
      </c>
      <c r="B58" s="22">
        <v>202601312</v>
      </c>
      <c r="D58" s="22" t="s">
        <v>328</v>
      </c>
      <c r="E58" s="22" t="s">
        <v>79</v>
      </c>
      <c r="F58" s="1" t="s">
        <v>5</v>
      </c>
      <c r="G58" s="26"/>
      <c r="H58" s="18" t="s">
        <v>27</v>
      </c>
      <c r="I58" s="53">
        <v>610.70000000000005</v>
      </c>
      <c r="J58" s="30"/>
      <c r="K58" s="78"/>
    </row>
    <row r="59" spans="1:11" s="22" customFormat="1" ht="24.95" customHeight="1" x14ac:dyDescent="0.25">
      <c r="A59" s="21">
        <v>46051</v>
      </c>
      <c r="B59" s="22">
        <v>202601331</v>
      </c>
      <c r="D59" s="22" t="s">
        <v>333</v>
      </c>
      <c r="E59" s="22" t="s">
        <v>79</v>
      </c>
      <c r="F59" s="1" t="s">
        <v>5</v>
      </c>
      <c r="G59" s="26"/>
      <c r="H59" s="18" t="s">
        <v>27</v>
      </c>
      <c r="I59" s="53">
        <v>490</v>
      </c>
      <c r="J59" s="30" t="s">
        <v>332</v>
      </c>
      <c r="K59" s="78"/>
    </row>
    <row r="60" spans="1:11" s="22" customFormat="1" ht="24.95" customHeight="1" x14ac:dyDescent="0.25">
      <c r="A60" s="21">
        <v>46051</v>
      </c>
      <c r="B60" s="22">
        <v>202601341</v>
      </c>
      <c r="D60" s="22" t="s">
        <v>334</v>
      </c>
      <c r="E60" s="22" t="s">
        <v>79</v>
      </c>
      <c r="F60" s="1" t="s">
        <v>5</v>
      </c>
      <c r="G60" s="26"/>
      <c r="H60" s="18" t="s">
        <v>27</v>
      </c>
      <c r="I60" s="53">
        <v>481.6</v>
      </c>
      <c r="J60" s="30" t="s">
        <v>335</v>
      </c>
      <c r="K60" s="78"/>
    </row>
    <row r="61" spans="1:11" s="22" customFormat="1" ht="24.95" customHeight="1" x14ac:dyDescent="0.25">
      <c r="A61" s="21">
        <v>46052</v>
      </c>
      <c r="B61" s="22">
        <v>202601352</v>
      </c>
      <c r="D61" s="22" t="s">
        <v>336</v>
      </c>
      <c r="E61" s="22" t="s">
        <v>79</v>
      </c>
      <c r="F61" s="1" t="s">
        <v>5</v>
      </c>
      <c r="G61" s="26"/>
      <c r="H61" s="18" t="s">
        <v>27</v>
      </c>
      <c r="I61" s="53">
        <v>334.9</v>
      </c>
      <c r="J61" s="30" t="s">
        <v>335</v>
      </c>
      <c r="K61" s="78" t="s">
        <v>340</v>
      </c>
    </row>
    <row r="62" spans="1:11" s="22" customFormat="1" ht="24.95" customHeight="1" x14ac:dyDescent="0.25">
      <c r="A62" s="21">
        <v>46055</v>
      </c>
      <c r="B62" s="22">
        <v>202601370</v>
      </c>
      <c r="D62" s="22" t="s">
        <v>337</v>
      </c>
      <c r="E62" s="22" t="s">
        <v>79</v>
      </c>
      <c r="F62" s="1" t="s">
        <v>5</v>
      </c>
      <c r="G62" s="26"/>
      <c r="H62" s="18" t="s">
        <v>27</v>
      </c>
      <c r="I62" s="53">
        <v>525.5</v>
      </c>
      <c r="J62" s="30" t="s">
        <v>335</v>
      </c>
      <c r="K62" s="78"/>
    </row>
    <row r="63" spans="1:11" s="22" customFormat="1" ht="24.95" customHeight="1" x14ac:dyDescent="0.25">
      <c r="A63" s="21">
        <v>46055</v>
      </c>
      <c r="B63" s="22">
        <v>202601371</v>
      </c>
      <c r="D63" s="22" t="s">
        <v>338</v>
      </c>
      <c r="E63" s="22" t="s">
        <v>79</v>
      </c>
      <c r="F63" s="1" t="s">
        <v>15</v>
      </c>
      <c r="G63" s="26"/>
      <c r="H63" s="18" t="s">
        <v>27</v>
      </c>
      <c r="I63" s="53">
        <v>577.79999999999995</v>
      </c>
      <c r="J63" s="30" t="s">
        <v>335</v>
      </c>
      <c r="K63" s="78"/>
    </row>
    <row r="64" spans="1:11" s="22" customFormat="1" ht="24.95" customHeight="1" x14ac:dyDescent="0.25">
      <c r="A64" s="21">
        <v>46055</v>
      </c>
      <c r="B64" s="22">
        <v>20260204</v>
      </c>
      <c r="D64" s="22" t="s">
        <v>339</v>
      </c>
      <c r="E64" s="22" t="s">
        <v>79</v>
      </c>
      <c r="F64" s="1" t="s">
        <v>6</v>
      </c>
      <c r="G64" s="26"/>
      <c r="H64" s="18" t="s">
        <v>27</v>
      </c>
      <c r="I64" s="53">
        <f>615.4+615.4+583.4</f>
        <v>1814.1999999999998</v>
      </c>
      <c r="J64" s="30"/>
      <c r="K64" s="78"/>
    </row>
    <row r="65" spans="1:11" s="22" customFormat="1" ht="24.95" customHeight="1" x14ac:dyDescent="0.25">
      <c r="A65" s="21">
        <v>46056</v>
      </c>
      <c r="B65" s="22" t="s">
        <v>343</v>
      </c>
      <c r="D65" s="22" t="s">
        <v>344</v>
      </c>
      <c r="E65" s="22" t="s">
        <v>79</v>
      </c>
      <c r="F65" s="1" t="s">
        <v>5</v>
      </c>
      <c r="G65" s="26"/>
      <c r="H65" s="18" t="s">
        <v>27</v>
      </c>
      <c r="I65" s="53">
        <v>692.6</v>
      </c>
      <c r="J65" s="30" t="s">
        <v>335</v>
      </c>
      <c r="K65" s="78" t="s">
        <v>340</v>
      </c>
    </row>
    <row r="66" spans="1:11" s="22" customFormat="1" ht="24.95" customHeight="1" x14ac:dyDescent="0.25">
      <c r="A66" s="21">
        <v>46056</v>
      </c>
      <c r="B66" s="22">
        <v>20260213</v>
      </c>
      <c r="D66" s="22" t="s">
        <v>341</v>
      </c>
      <c r="E66" s="22" t="s">
        <v>79</v>
      </c>
      <c r="F66" s="1" t="s">
        <v>6</v>
      </c>
      <c r="G66" s="26"/>
      <c r="H66" s="18" t="s">
        <v>27</v>
      </c>
      <c r="I66" s="53">
        <v>558</v>
      </c>
      <c r="J66" s="30" t="s">
        <v>335</v>
      </c>
      <c r="K66" s="78" t="s">
        <v>340</v>
      </c>
    </row>
    <row r="67" spans="1:11" s="22" customFormat="1" ht="24.95" customHeight="1" x14ac:dyDescent="0.25">
      <c r="A67" s="21">
        <v>46057</v>
      </c>
      <c r="B67" s="22">
        <v>20260214</v>
      </c>
      <c r="D67" s="22" t="s">
        <v>342</v>
      </c>
      <c r="E67" s="22" t="s">
        <v>79</v>
      </c>
      <c r="F67" s="1" t="s">
        <v>6</v>
      </c>
      <c r="G67" s="26"/>
      <c r="H67" s="18" t="s">
        <v>27</v>
      </c>
      <c r="I67" s="53"/>
      <c r="J67" s="30" t="s">
        <v>335</v>
      </c>
      <c r="K67" s="78"/>
    </row>
    <row r="68" spans="1:11" s="22" customFormat="1" ht="24.95" customHeight="1" x14ac:dyDescent="0.25">
      <c r="A68" s="21">
        <v>46057</v>
      </c>
      <c r="B68" s="22">
        <v>20260219</v>
      </c>
      <c r="D68" s="22" t="s">
        <v>346</v>
      </c>
      <c r="E68" s="22" t="s">
        <v>79</v>
      </c>
      <c r="F68" s="1" t="s">
        <v>6</v>
      </c>
      <c r="G68" s="26"/>
      <c r="H68" s="18" t="s">
        <v>27</v>
      </c>
      <c r="I68" s="53">
        <f>466.3+759.9</f>
        <v>1226.2</v>
      </c>
      <c r="J68" s="30" t="s">
        <v>335</v>
      </c>
      <c r="K68" s="78" t="s">
        <v>340</v>
      </c>
    </row>
    <row r="69" spans="1:11" s="22" customFormat="1" ht="24.95" customHeight="1" x14ac:dyDescent="0.25">
      <c r="A69" s="21">
        <v>46057</v>
      </c>
      <c r="B69" s="22">
        <v>20260236</v>
      </c>
      <c r="D69" s="22" t="s">
        <v>348</v>
      </c>
      <c r="E69" s="22" t="s">
        <v>79</v>
      </c>
      <c r="F69" s="1" t="s">
        <v>6</v>
      </c>
      <c r="G69" s="26"/>
      <c r="H69" s="18" t="s">
        <v>27</v>
      </c>
      <c r="I69" s="53">
        <v>566.29999999999995</v>
      </c>
      <c r="J69" s="30" t="s">
        <v>335</v>
      </c>
      <c r="K69" s="78"/>
    </row>
    <row r="70" spans="1:11" s="22" customFormat="1" ht="24.95" customHeight="1" x14ac:dyDescent="0.25">
      <c r="A70" s="21">
        <v>46062</v>
      </c>
      <c r="B70" s="22">
        <v>20260265</v>
      </c>
      <c r="D70" s="22" t="s">
        <v>370</v>
      </c>
      <c r="E70" s="22" t="s">
        <v>79</v>
      </c>
      <c r="F70" s="1" t="s">
        <v>6</v>
      </c>
      <c r="G70" s="26"/>
      <c r="H70" s="18" t="s">
        <v>27</v>
      </c>
      <c r="I70" s="53">
        <v>517.29999999999995</v>
      </c>
      <c r="J70" s="30" t="s">
        <v>335</v>
      </c>
      <c r="K70" s="78"/>
    </row>
    <row r="71" spans="1:11" s="22" customFormat="1" ht="24.95" customHeight="1" x14ac:dyDescent="0.25">
      <c r="A71" s="21">
        <v>46062</v>
      </c>
      <c r="B71" s="22">
        <v>20260273</v>
      </c>
      <c r="D71" s="22" t="s">
        <v>373</v>
      </c>
      <c r="E71" s="22" t="s">
        <v>79</v>
      </c>
      <c r="F71" s="1" t="s">
        <v>6</v>
      </c>
      <c r="G71" s="26"/>
      <c r="H71" s="18" t="s">
        <v>27</v>
      </c>
      <c r="I71" s="53">
        <v>393.8</v>
      </c>
      <c r="J71" s="30" t="s">
        <v>335</v>
      </c>
      <c r="K71" s="78"/>
    </row>
    <row r="72" spans="1:11" s="22" customFormat="1" ht="24.95" customHeight="1" x14ac:dyDescent="0.25">
      <c r="A72" s="21">
        <v>46062</v>
      </c>
      <c r="B72" s="22">
        <v>20260287</v>
      </c>
      <c r="D72" s="22" t="s">
        <v>374</v>
      </c>
      <c r="E72" s="22" t="s">
        <v>92</v>
      </c>
      <c r="F72" s="1" t="s">
        <v>5</v>
      </c>
      <c r="G72" s="26"/>
      <c r="H72" s="18" t="s">
        <v>27</v>
      </c>
      <c r="I72" s="53"/>
      <c r="J72" s="30"/>
      <c r="K72" s="78"/>
    </row>
    <row r="73" spans="1:11" s="22" customFormat="1" ht="24.95" customHeight="1" x14ac:dyDescent="0.25">
      <c r="A73" s="21">
        <v>46062</v>
      </c>
      <c r="B73" s="22">
        <v>20260218</v>
      </c>
      <c r="D73" s="22" t="s">
        <v>345</v>
      </c>
      <c r="E73" s="22" t="s">
        <v>79</v>
      </c>
      <c r="F73" s="1" t="s">
        <v>6</v>
      </c>
      <c r="G73" s="26"/>
      <c r="H73" s="18" t="s">
        <v>27</v>
      </c>
      <c r="I73" s="53">
        <f>442.6+526.1</f>
        <v>968.7</v>
      </c>
      <c r="J73" s="30" t="s">
        <v>335</v>
      </c>
      <c r="K73" s="78"/>
    </row>
    <row r="74" spans="1:11" s="22" customFormat="1" ht="24.95" customHeight="1" x14ac:dyDescent="0.25">
      <c r="A74" s="21">
        <v>46062</v>
      </c>
      <c r="B74" s="22">
        <v>20260289</v>
      </c>
      <c r="D74" s="22" t="s">
        <v>375</v>
      </c>
      <c r="E74" s="22" t="s">
        <v>79</v>
      </c>
      <c r="F74" s="1" t="s">
        <v>6</v>
      </c>
      <c r="G74" s="26"/>
      <c r="H74" s="18" t="s">
        <v>27</v>
      </c>
      <c r="I74" s="53">
        <v>425.8</v>
      </c>
      <c r="J74" s="30" t="s">
        <v>335</v>
      </c>
      <c r="K74" s="78" t="s">
        <v>340</v>
      </c>
    </row>
    <row r="75" spans="1:11" s="22" customFormat="1" ht="24.95" customHeight="1" x14ac:dyDescent="0.25">
      <c r="A75" s="21">
        <v>46063</v>
      </c>
      <c r="B75" s="22">
        <v>202602111</v>
      </c>
      <c r="D75" s="22" t="s">
        <v>378</v>
      </c>
      <c r="E75" s="22" t="s">
        <v>79</v>
      </c>
      <c r="F75" s="1" t="s">
        <v>6</v>
      </c>
      <c r="G75" s="26"/>
      <c r="H75" s="18" t="s">
        <v>27</v>
      </c>
      <c r="I75" s="53">
        <v>455.2</v>
      </c>
      <c r="J75" s="30" t="s">
        <v>335</v>
      </c>
      <c r="K75" s="78"/>
    </row>
    <row r="76" spans="1:11" s="22" customFormat="1" ht="24.95" customHeight="1" x14ac:dyDescent="0.25">
      <c r="A76" s="21">
        <v>46063</v>
      </c>
      <c r="B76" s="22">
        <v>202602112</v>
      </c>
      <c r="D76" s="22" t="s">
        <v>379</v>
      </c>
      <c r="E76" s="22" t="s">
        <v>79</v>
      </c>
      <c r="F76" s="1" t="s">
        <v>6</v>
      </c>
      <c r="G76" s="26"/>
      <c r="H76" s="18" t="s">
        <v>27</v>
      </c>
      <c r="I76" s="53">
        <v>489.5</v>
      </c>
      <c r="J76" s="30" t="s">
        <v>335</v>
      </c>
      <c r="K76" s="78" t="s">
        <v>340</v>
      </c>
    </row>
    <row r="77" spans="1:11" s="22" customFormat="1" ht="24.95" customHeight="1" x14ac:dyDescent="0.25">
      <c r="A77" s="21">
        <v>46063</v>
      </c>
      <c r="B77" s="22">
        <v>20260299</v>
      </c>
      <c r="D77" s="22" t="s">
        <v>377</v>
      </c>
      <c r="E77" s="22" t="s">
        <v>79</v>
      </c>
      <c r="F77" s="1" t="s">
        <v>6</v>
      </c>
      <c r="G77" s="26"/>
      <c r="H77" s="18" t="s">
        <v>27</v>
      </c>
      <c r="I77" s="53">
        <v>5168.3</v>
      </c>
      <c r="J77" s="30" t="s">
        <v>335</v>
      </c>
      <c r="K77" s="78"/>
    </row>
    <row r="78" spans="1:11" s="22" customFormat="1" ht="24.95" customHeight="1" x14ac:dyDescent="0.25">
      <c r="A78" s="21">
        <v>46063</v>
      </c>
      <c r="B78" s="22">
        <v>202602117</v>
      </c>
      <c r="D78" s="22" t="s">
        <v>380</v>
      </c>
      <c r="E78" s="22" t="s">
        <v>79</v>
      </c>
      <c r="F78" s="1" t="s">
        <v>6</v>
      </c>
      <c r="G78" s="26"/>
      <c r="H78" s="18" t="s">
        <v>27</v>
      </c>
      <c r="I78" s="53">
        <v>787.1</v>
      </c>
      <c r="J78" s="30" t="s">
        <v>335</v>
      </c>
      <c r="K78" s="78"/>
    </row>
    <row r="79" spans="1:11" s="22" customFormat="1" ht="24.95" customHeight="1" x14ac:dyDescent="0.25">
      <c r="A79" s="21">
        <v>46063</v>
      </c>
      <c r="B79" s="22">
        <v>202602118</v>
      </c>
      <c r="D79" s="22" t="s">
        <v>381</v>
      </c>
      <c r="E79" s="22" t="s">
        <v>79</v>
      </c>
      <c r="F79" s="1" t="s">
        <v>6</v>
      </c>
      <c r="G79" s="26"/>
      <c r="H79" s="18" t="s">
        <v>27</v>
      </c>
      <c r="I79" s="53">
        <v>373.5</v>
      </c>
      <c r="J79" s="30" t="s">
        <v>335</v>
      </c>
      <c r="K79" s="78"/>
    </row>
    <row r="80" spans="1:11" s="22" customFormat="1" ht="24.95" customHeight="1" x14ac:dyDescent="0.25">
      <c r="A80" s="21">
        <v>46064</v>
      </c>
      <c r="B80" s="22">
        <v>202602144</v>
      </c>
      <c r="D80" s="22" t="s">
        <v>382</v>
      </c>
      <c r="E80" s="22" t="s">
        <v>79</v>
      </c>
      <c r="F80" s="1" t="s">
        <v>6</v>
      </c>
      <c r="G80" s="26"/>
      <c r="H80" s="18" t="s">
        <v>27</v>
      </c>
      <c r="I80" s="53">
        <v>483.7</v>
      </c>
      <c r="J80" s="30" t="s">
        <v>335</v>
      </c>
      <c r="K80" s="78"/>
    </row>
    <row r="81" spans="1:11" s="22" customFormat="1" ht="24.95" customHeight="1" x14ac:dyDescent="0.25">
      <c r="A81" s="21"/>
      <c r="F81" s="1"/>
      <c r="G81" s="26"/>
      <c r="H81" s="18"/>
      <c r="I81" s="53"/>
      <c r="J81" s="30"/>
      <c r="K81" s="78"/>
    </row>
    <row r="82" spans="1:11" s="22" customFormat="1" ht="24.95" customHeight="1" x14ac:dyDescent="0.25">
      <c r="A82" s="21"/>
      <c r="F82" s="1"/>
      <c r="G82" s="26"/>
      <c r="H82" s="18"/>
      <c r="I82" s="53"/>
      <c r="J82" s="30"/>
      <c r="K82" s="78"/>
    </row>
    <row r="83" spans="1:11" s="22" customFormat="1" ht="24.95" customHeight="1" x14ac:dyDescent="0.25">
      <c r="A83" s="21"/>
      <c r="F83" s="1"/>
      <c r="G83" s="26"/>
      <c r="H83" s="18"/>
      <c r="I83" s="53"/>
      <c r="J83" s="30"/>
      <c r="K83" s="78"/>
    </row>
    <row r="84" spans="1:11" s="22" customFormat="1" ht="24.95" customHeight="1" x14ac:dyDescent="0.25">
      <c r="A84" s="21"/>
      <c r="F84" s="1"/>
      <c r="G84" s="26"/>
      <c r="H84" s="18"/>
      <c r="I84" s="53"/>
      <c r="J84" s="30"/>
      <c r="K84" s="78"/>
    </row>
    <row r="85" spans="1:11" s="22" customFormat="1" ht="24.95" customHeight="1" x14ac:dyDescent="0.25">
      <c r="A85" s="21"/>
      <c r="F85" s="1"/>
      <c r="G85" s="26"/>
      <c r="H85" s="18"/>
      <c r="I85" s="53"/>
      <c r="J85" s="30"/>
      <c r="K85" s="78"/>
    </row>
    <row r="86" spans="1:11" s="22" customFormat="1" ht="24.95" customHeight="1" x14ac:dyDescent="0.25">
      <c r="A86" s="21"/>
      <c r="F86" s="1"/>
      <c r="G86" s="26"/>
      <c r="H86" s="18"/>
      <c r="I86" s="53"/>
      <c r="J86" s="30"/>
      <c r="K86" s="78"/>
    </row>
    <row r="87" spans="1:11" s="22" customFormat="1" ht="24.95" customHeight="1" x14ac:dyDescent="0.25">
      <c r="A87" s="21"/>
      <c r="F87" s="1"/>
      <c r="G87" s="26"/>
      <c r="H87" s="18"/>
      <c r="I87" s="53"/>
      <c r="J87" s="30"/>
      <c r="K87" s="78"/>
    </row>
    <row r="88" spans="1:11" s="22" customFormat="1" ht="24.95" customHeight="1" x14ac:dyDescent="0.25">
      <c r="A88" s="21"/>
      <c r="F88" s="1"/>
      <c r="G88" s="26"/>
      <c r="H88" s="18"/>
      <c r="I88" s="53"/>
      <c r="J88" s="30"/>
      <c r="K88" s="78"/>
    </row>
    <row r="89" spans="1:11" s="22" customFormat="1" ht="24.95" customHeight="1" x14ac:dyDescent="0.25">
      <c r="A89" s="21"/>
      <c r="F89" s="1"/>
      <c r="G89" s="26"/>
      <c r="H89" s="18"/>
      <c r="I89" s="53"/>
      <c r="J89" s="30"/>
      <c r="K89" s="78"/>
    </row>
    <row r="90" spans="1:11" s="22" customFormat="1" ht="24.95" customHeight="1" x14ac:dyDescent="0.25">
      <c r="A90" s="21"/>
      <c r="F90" s="1"/>
      <c r="G90" s="26"/>
      <c r="H90" s="18"/>
      <c r="I90" s="53"/>
      <c r="J90" s="30"/>
      <c r="K90" s="78"/>
    </row>
    <row r="91" spans="1:11" s="22" customFormat="1" ht="24.95" customHeight="1" x14ac:dyDescent="0.25">
      <c r="A91" s="21"/>
      <c r="F91" s="1"/>
      <c r="G91" s="26"/>
      <c r="H91" s="18"/>
      <c r="I91" s="53"/>
      <c r="J91" s="30"/>
      <c r="K91" s="78"/>
    </row>
    <row r="92" spans="1:11" s="22" customFormat="1" ht="24.95" customHeight="1" x14ac:dyDescent="0.25">
      <c r="A92" s="21"/>
      <c r="F92" s="1"/>
      <c r="G92" s="26"/>
      <c r="H92" s="18"/>
      <c r="I92" s="53"/>
      <c r="J92" s="30"/>
      <c r="K92" s="78"/>
    </row>
    <row r="93" spans="1:11" s="22" customFormat="1" ht="24.95" customHeight="1" x14ac:dyDescent="0.25">
      <c r="A93" s="21"/>
      <c r="F93" s="1"/>
      <c r="G93" s="26"/>
      <c r="H93" s="18"/>
      <c r="I93" s="53"/>
      <c r="J93" s="30"/>
      <c r="K93" s="78"/>
    </row>
    <row r="94" spans="1:11" s="22" customFormat="1" ht="24.95" customHeight="1" x14ac:dyDescent="0.25">
      <c r="A94" s="21"/>
      <c r="F94" s="1"/>
      <c r="G94" s="26"/>
      <c r="H94" s="18"/>
      <c r="I94" s="53"/>
      <c r="J94" s="30"/>
      <c r="K94" s="78"/>
    </row>
    <row r="95" spans="1:11" s="22" customFormat="1" ht="24.95" customHeight="1" x14ac:dyDescent="0.25">
      <c r="A95" s="21"/>
      <c r="F95" s="1"/>
      <c r="G95" s="26"/>
      <c r="H95" s="18"/>
      <c r="I95" s="53"/>
      <c r="J95" s="30"/>
      <c r="K95" s="78"/>
    </row>
    <row r="96" spans="1:11" s="22" customFormat="1" ht="24.95" customHeight="1" x14ac:dyDescent="0.25">
      <c r="A96" s="21"/>
      <c r="F96" s="1"/>
      <c r="G96" s="26"/>
      <c r="H96" s="18"/>
      <c r="I96" s="53"/>
      <c r="J96" s="30"/>
      <c r="K96" s="78"/>
    </row>
    <row r="97" spans="1:11" s="22" customFormat="1" ht="24.95" customHeight="1" x14ac:dyDescent="0.25">
      <c r="A97" s="21"/>
      <c r="F97" s="1"/>
      <c r="G97" s="26"/>
      <c r="H97" s="18"/>
      <c r="I97" s="53"/>
      <c r="J97" s="30"/>
      <c r="K97" s="78"/>
    </row>
    <row r="98" spans="1:11" s="22" customFormat="1" ht="24.95" customHeight="1" x14ac:dyDescent="0.25">
      <c r="A98" s="21"/>
      <c r="F98" s="1"/>
      <c r="G98" s="26"/>
      <c r="H98" s="18"/>
      <c r="I98" s="53"/>
      <c r="J98" s="30"/>
      <c r="K98" s="78"/>
    </row>
    <row r="99" spans="1:11" s="22" customFormat="1" ht="24.95" customHeight="1" x14ac:dyDescent="0.25">
      <c r="A99" s="21"/>
      <c r="F99" s="1"/>
      <c r="G99" s="26"/>
      <c r="H99" s="18"/>
      <c r="I99" s="53"/>
      <c r="J99" s="30"/>
      <c r="K99" s="78"/>
    </row>
    <row r="100" spans="1:11" s="22" customFormat="1" ht="24.95" customHeight="1" x14ac:dyDescent="0.25">
      <c r="A100" s="21"/>
      <c r="F100" s="1"/>
      <c r="G100" s="26"/>
      <c r="H100" s="18"/>
      <c r="I100" s="53"/>
      <c r="J100" s="30"/>
      <c r="K100" s="78"/>
    </row>
    <row r="101" spans="1:11" s="22" customFormat="1" ht="24.95" customHeight="1" x14ac:dyDescent="0.25">
      <c r="A101" s="21"/>
      <c r="F101" s="1"/>
      <c r="G101" s="26"/>
      <c r="H101" s="18"/>
      <c r="I101" s="53"/>
      <c r="J101" s="30"/>
      <c r="K101" s="78"/>
    </row>
    <row r="102" spans="1:11" s="22" customFormat="1" ht="24.95" customHeight="1" x14ac:dyDescent="0.25">
      <c r="A102" s="21"/>
      <c r="F102" s="1"/>
      <c r="G102" s="26"/>
      <c r="H102" s="18"/>
      <c r="I102" s="53"/>
      <c r="J102" s="30"/>
      <c r="K102" s="78"/>
    </row>
    <row r="103" spans="1:11" s="22" customFormat="1" ht="24.95" customHeight="1" x14ac:dyDescent="0.25">
      <c r="A103" s="21"/>
      <c r="F103" s="1"/>
      <c r="G103" s="26"/>
      <c r="H103" s="18"/>
      <c r="I103" s="53"/>
      <c r="J103" s="30"/>
      <c r="K103" s="78"/>
    </row>
    <row r="104" spans="1:11" s="22" customFormat="1" ht="24.95" customHeight="1" x14ac:dyDescent="0.25">
      <c r="A104" s="21"/>
      <c r="F104" s="1"/>
      <c r="G104" s="26"/>
      <c r="H104" s="18"/>
      <c r="I104" s="53"/>
      <c r="J104" s="30"/>
      <c r="K104" s="78"/>
    </row>
    <row r="105" spans="1:11" s="22" customFormat="1" ht="24.95" customHeight="1" x14ac:dyDescent="0.25">
      <c r="A105" s="21"/>
      <c r="F105" s="1"/>
      <c r="G105" s="26"/>
      <c r="H105" s="18"/>
      <c r="I105" s="53"/>
      <c r="J105" s="30"/>
      <c r="K105" s="78"/>
    </row>
    <row r="106" spans="1:11" s="22" customFormat="1" ht="24.95" customHeight="1" x14ac:dyDescent="0.25">
      <c r="A106" s="21"/>
      <c r="F106" s="1"/>
      <c r="G106" s="26"/>
      <c r="H106" s="18"/>
      <c r="I106" s="53"/>
      <c r="J106" s="30"/>
      <c r="K106" s="78"/>
    </row>
    <row r="107" spans="1:11" s="22" customFormat="1" ht="24.95" customHeight="1" x14ac:dyDescent="0.25">
      <c r="A107" s="21"/>
      <c r="F107" s="1"/>
      <c r="G107" s="26"/>
      <c r="H107" s="18"/>
      <c r="I107" s="53"/>
      <c r="J107" s="30"/>
      <c r="K107" s="78"/>
    </row>
    <row r="108" spans="1:11" s="22" customFormat="1" ht="24.95" customHeight="1" x14ac:dyDescent="0.25">
      <c r="A108" s="21"/>
      <c r="F108" s="1"/>
      <c r="G108" s="26"/>
      <c r="H108" s="18"/>
      <c r="I108" s="53"/>
      <c r="J108" s="30"/>
      <c r="K108" s="78"/>
    </row>
    <row r="109" spans="1:11" s="22" customFormat="1" ht="24.95" customHeight="1" x14ac:dyDescent="0.25">
      <c r="A109" s="21"/>
      <c r="F109" s="1"/>
      <c r="G109" s="26"/>
      <c r="H109" s="18"/>
      <c r="I109" s="53"/>
      <c r="J109" s="30"/>
      <c r="K109" s="78"/>
    </row>
    <row r="110" spans="1:11" s="22" customFormat="1" ht="24.95" customHeight="1" x14ac:dyDescent="0.25">
      <c r="A110" s="21"/>
      <c r="F110" s="1"/>
      <c r="G110" s="26"/>
      <c r="H110" s="18"/>
      <c r="I110" s="53"/>
      <c r="J110" s="30"/>
      <c r="K110" s="78"/>
    </row>
    <row r="111" spans="1:11" s="22" customFormat="1" ht="24.95" customHeight="1" x14ac:dyDescent="0.25">
      <c r="A111" s="21"/>
      <c r="F111" s="1"/>
      <c r="G111" s="26"/>
      <c r="H111" s="18"/>
      <c r="I111" s="53"/>
      <c r="J111" s="30"/>
      <c r="K111" s="78"/>
    </row>
    <row r="112" spans="1:11" s="22" customFormat="1" ht="24.95" customHeight="1" x14ac:dyDescent="0.25">
      <c r="A112" s="21"/>
      <c r="F112" s="1"/>
      <c r="G112" s="26"/>
      <c r="H112" s="18"/>
      <c r="I112" s="53"/>
      <c r="J112" s="30"/>
      <c r="K112" s="78"/>
    </row>
    <row r="113" spans="1:11" s="22" customFormat="1" ht="24.95" customHeight="1" x14ac:dyDescent="0.25">
      <c r="A113" s="21"/>
      <c r="F113" s="1"/>
      <c r="G113" s="26"/>
      <c r="H113" s="18"/>
      <c r="I113" s="53"/>
      <c r="J113" s="30"/>
      <c r="K113" s="78"/>
    </row>
    <row r="114" spans="1:11" s="22" customFormat="1" ht="24.95" customHeight="1" x14ac:dyDescent="0.25">
      <c r="A114" s="21"/>
      <c r="F114" s="1"/>
      <c r="G114" s="26"/>
      <c r="H114" s="18"/>
      <c r="I114" s="53"/>
      <c r="J114" s="30"/>
      <c r="K114" s="78"/>
    </row>
    <row r="115" spans="1:11" s="22" customFormat="1" ht="24.95" customHeight="1" x14ac:dyDescent="0.25">
      <c r="A115" s="21"/>
      <c r="F115" s="1"/>
      <c r="G115" s="26"/>
      <c r="H115" s="18"/>
      <c r="I115" s="53"/>
      <c r="J115" s="30"/>
      <c r="K115" s="78"/>
    </row>
    <row r="116" spans="1:11" s="22" customFormat="1" ht="24.95" customHeight="1" x14ac:dyDescent="0.25">
      <c r="A116" s="21"/>
      <c r="F116" s="1"/>
      <c r="G116" s="26"/>
      <c r="H116" s="18"/>
      <c r="I116" s="53"/>
      <c r="J116" s="30"/>
      <c r="K116" s="78"/>
    </row>
    <row r="117" spans="1:11" s="22" customFormat="1" ht="24.95" customHeight="1" x14ac:dyDescent="0.25">
      <c r="A117" s="21"/>
      <c r="F117" s="1"/>
      <c r="G117" s="26"/>
      <c r="H117" s="18"/>
      <c r="I117" s="53"/>
      <c r="J117" s="30"/>
      <c r="K117" s="78"/>
    </row>
    <row r="118" spans="1:11" s="22" customFormat="1" ht="24.95" customHeight="1" x14ac:dyDescent="0.25">
      <c r="A118" s="21"/>
      <c r="F118" s="1"/>
      <c r="G118" s="26"/>
      <c r="H118" s="18"/>
      <c r="I118" s="53"/>
      <c r="J118" s="30"/>
      <c r="K118" s="78"/>
    </row>
    <row r="119" spans="1:11" s="22" customFormat="1" ht="24.95" customHeight="1" x14ac:dyDescent="0.25">
      <c r="A119" s="21"/>
      <c r="F119" s="1"/>
      <c r="G119" s="26"/>
      <c r="H119" s="18"/>
      <c r="I119" s="53"/>
      <c r="J119" s="30"/>
      <c r="K119" s="78"/>
    </row>
    <row r="120" spans="1:11" s="22" customFormat="1" ht="24.95" customHeight="1" x14ac:dyDescent="0.25">
      <c r="A120" s="21"/>
      <c r="F120" s="1"/>
      <c r="G120" s="26"/>
      <c r="H120" s="18"/>
      <c r="I120" s="53"/>
      <c r="J120" s="30"/>
      <c r="K120" s="78"/>
    </row>
    <row r="121" spans="1:11" s="22" customFormat="1" ht="24.95" customHeight="1" x14ac:dyDescent="0.25">
      <c r="A121" s="21"/>
      <c r="F121" s="1"/>
      <c r="G121" s="26"/>
      <c r="H121" s="18"/>
      <c r="I121" s="53"/>
      <c r="J121" s="30"/>
      <c r="K121" s="78"/>
    </row>
    <row r="122" spans="1:11" s="22" customFormat="1" ht="24.95" customHeight="1" x14ac:dyDescent="0.25">
      <c r="A122" s="21"/>
      <c r="F122" s="1"/>
      <c r="G122" s="26"/>
      <c r="H122" s="18"/>
      <c r="I122" s="53"/>
      <c r="J122" s="30"/>
      <c r="K122" s="78"/>
    </row>
    <row r="123" spans="1:11" s="22" customFormat="1" ht="24.95" customHeight="1" x14ac:dyDescent="0.25">
      <c r="A123" s="21"/>
      <c r="F123" s="1"/>
      <c r="G123" s="26"/>
      <c r="H123" s="18"/>
      <c r="I123" s="53"/>
      <c r="J123" s="30"/>
      <c r="K123" s="78"/>
    </row>
    <row r="124" spans="1:11" s="22" customFormat="1" ht="24.95" customHeight="1" x14ac:dyDescent="0.25">
      <c r="A124" s="21"/>
      <c r="F124" s="1"/>
      <c r="G124" s="26"/>
      <c r="H124" s="18"/>
      <c r="I124" s="53"/>
      <c r="J124" s="30"/>
      <c r="K124" s="78"/>
    </row>
    <row r="125" spans="1:11" s="22" customFormat="1" ht="24.95" customHeight="1" x14ac:dyDescent="0.25">
      <c r="A125" s="21"/>
      <c r="F125" s="1"/>
      <c r="G125" s="26"/>
      <c r="H125" s="18"/>
      <c r="I125" s="53"/>
      <c r="J125" s="30"/>
      <c r="K125" s="78"/>
    </row>
    <row r="126" spans="1:11" s="22" customFormat="1" ht="24.95" customHeight="1" x14ac:dyDescent="0.25">
      <c r="A126" s="21"/>
      <c r="F126" s="1"/>
      <c r="G126" s="26"/>
      <c r="H126" s="18"/>
      <c r="I126" s="53"/>
      <c r="J126" s="30"/>
      <c r="K126" s="78"/>
    </row>
    <row r="127" spans="1:11" s="22" customFormat="1" ht="24.95" customHeight="1" x14ac:dyDescent="0.25">
      <c r="A127" s="21"/>
      <c r="F127" s="1"/>
      <c r="G127" s="26"/>
      <c r="H127" s="18"/>
      <c r="I127" s="53"/>
      <c r="J127" s="30"/>
      <c r="K127" s="78"/>
    </row>
    <row r="128" spans="1:11" s="22" customFormat="1" ht="24.95" customHeight="1" x14ac:dyDescent="0.25">
      <c r="A128" s="21"/>
      <c r="F128" s="1"/>
      <c r="G128" s="26"/>
      <c r="H128" s="18"/>
      <c r="I128" s="53"/>
      <c r="J128" s="30"/>
      <c r="K128" s="78"/>
    </row>
    <row r="129" spans="1:11" s="22" customFormat="1" ht="24.95" customHeight="1" x14ac:dyDescent="0.25">
      <c r="A129" s="21"/>
      <c r="F129" s="1"/>
      <c r="G129" s="26"/>
      <c r="H129" s="18"/>
      <c r="I129" s="53"/>
      <c r="J129" s="30"/>
      <c r="K129" s="78"/>
    </row>
    <row r="130" spans="1:11" s="22" customFormat="1" ht="24.95" customHeight="1" x14ac:dyDescent="0.25">
      <c r="A130" s="21"/>
      <c r="F130" s="1"/>
      <c r="G130" s="26"/>
      <c r="H130" s="18"/>
      <c r="I130" s="53"/>
      <c r="J130" s="30"/>
      <c r="K130" s="78"/>
    </row>
    <row r="131" spans="1:11" s="22" customFormat="1" ht="24.95" customHeight="1" x14ac:dyDescent="0.25">
      <c r="A131" s="21"/>
      <c r="F131" s="1"/>
      <c r="G131" s="26"/>
      <c r="H131" s="18"/>
      <c r="I131" s="53"/>
      <c r="J131" s="30"/>
      <c r="K131" s="78"/>
    </row>
    <row r="132" spans="1:11" s="22" customFormat="1" ht="24.95" customHeight="1" x14ac:dyDescent="0.25">
      <c r="A132" s="21"/>
      <c r="F132" s="1"/>
      <c r="G132" s="26"/>
      <c r="H132" s="18"/>
      <c r="I132" s="53"/>
      <c r="J132" s="30"/>
      <c r="K132" s="78"/>
    </row>
    <row r="133" spans="1:11" s="22" customFormat="1" ht="24.95" customHeight="1" x14ac:dyDescent="0.25">
      <c r="A133" s="21"/>
      <c r="F133" s="1"/>
      <c r="G133" s="26"/>
      <c r="H133" s="18"/>
      <c r="I133" s="53"/>
      <c r="J133" s="30"/>
      <c r="K133" s="78"/>
    </row>
    <row r="134" spans="1:11" s="22" customFormat="1" ht="24.95" customHeight="1" x14ac:dyDescent="0.25">
      <c r="A134" s="21"/>
      <c r="F134" s="1"/>
      <c r="G134" s="26"/>
      <c r="H134" s="18"/>
      <c r="I134" s="53"/>
      <c r="J134" s="30"/>
      <c r="K134" s="78"/>
    </row>
    <row r="135" spans="1:11" s="22" customFormat="1" ht="24.95" customHeight="1" x14ac:dyDescent="0.25">
      <c r="A135" s="21"/>
      <c r="F135" s="1"/>
      <c r="G135" s="26"/>
      <c r="H135" s="18"/>
      <c r="I135" s="53"/>
      <c r="J135" s="30"/>
      <c r="K135" s="78"/>
    </row>
    <row r="136" spans="1:11" s="22" customFormat="1" ht="24.95" customHeight="1" x14ac:dyDescent="0.25">
      <c r="A136" s="21"/>
      <c r="F136" s="1"/>
      <c r="G136" s="26"/>
      <c r="H136" s="18"/>
      <c r="I136" s="53"/>
      <c r="J136" s="30"/>
      <c r="K136" s="78"/>
    </row>
    <row r="137" spans="1:11" s="22" customFormat="1" ht="24.95" customHeight="1" x14ac:dyDescent="0.25">
      <c r="A137" s="21"/>
      <c r="F137" s="1"/>
      <c r="G137" s="26"/>
      <c r="H137" s="18"/>
      <c r="I137" s="53"/>
      <c r="J137" s="30"/>
      <c r="K137" s="78"/>
    </row>
    <row r="138" spans="1:11" s="22" customFormat="1" ht="24.95" customHeight="1" x14ac:dyDescent="0.25">
      <c r="A138" s="21"/>
      <c r="F138" s="1"/>
      <c r="G138" s="26"/>
      <c r="H138" s="18"/>
      <c r="I138" s="53"/>
      <c r="J138" s="30"/>
      <c r="K138" s="78"/>
    </row>
    <row r="139" spans="1:11" s="22" customFormat="1" ht="24.95" customHeight="1" x14ac:dyDescent="0.25">
      <c r="A139" s="21"/>
      <c r="F139" s="1"/>
      <c r="G139" s="26"/>
      <c r="H139" s="18"/>
      <c r="I139" s="53"/>
      <c r="J139" s="30"/>
      <c r="K139" s="78"/>
    </row>
    <row r="140" spans="1:11" s="22" customFormat="1" ht="24.95" customHeight="1" x14ac:dyDescent="0.25">
      <c r="A140" s="21"/>
      <c r="F140" s="1"/>
      <c r="G140" s="26"/>
      <c r="H140" s="18"/>
      <c r="I140" s="53"/>
      <c r="J140" s="30"/>
      <c r="K140" s="78"/>
    </row>
    <row r="141" spans="1:11" s="22" customFormat="1" ht="24.95" customHeight="1" x14ac:dyDescent="0.25">
      <c r="A141" s="21"/>
      <c r="F141" s="1"/>
      <c r="G141" s="26"/>
      <c r="H141" s="18"/>
      <c r="I141" s="53"/>
      <c r="J141" s="30"/>
      <c r="K141" s="78"/>
    </row>
    <row r="142" spans="1:11" s="22" customFormat="1" ht="24.95" customHeight="1" x14ac:dyDescent="0.25">
      <c r="A142" s="21"/>
      <c r="F142" s="1"/>
      <c r="G142" s="26"/>
      <c r="H142" s="18"/>
      <c r="I142" s="53"/>
      <c r="J142" s="30"/>
      <c r="K142" s="78"/>
    </row>
    <row r="143" spans="1:11" s="22" customFormat="1" ht="24.95" customHeight="1" x14ac:dyDescent="0.25">
      <c r="A143" s="21"/>
      <c r="F143" s="1"/>
      <c r="G143" s="26"/>
      <c r="H143" s="18"/>
      <c r="I143" s="53"/>
      <c r="J143" s="30"/>
      <c r="K143" s="78"/>
    </row>
    <row r="144" spans="1:11" s="22" customFormat="1" ht="24.95" customHeight="1" x14ac:dyDescent="0.25">
      <c r="A144" s="21"/>
      <c r="F144" s="1"/>
      <c r="G144" s="26"/>
      <c r="H144" s="18"/>
      <c r="I144" s="53"/>
      <c r="J144" s="30"/>
      <c r="K144" s="78"/>
    </row>
    <row r="145" spans="1:11" s="22" customFormat="1" ht="24.95" customHeight="1" x14ac:dyDescent="0.25">
      <c r="A145" s="21"/>
      <c r="F145" s="1"/>
      <c r="G145" s="26"/>
      <c r="H145" s="18"/>
      <c r="I145" s="53"/>
      <c r="J145" s="30"/>
      <c r="K145" s="78"/>
    </row>
    <row r="146" spans="1:11" s="22" customFormat="1" ht="24.95" customHeight="1" x14ac:dyDescent="0.25">
      <c r="A146" s="21"/>
      <c r="F146" s="1"/>
      <c r="G146" s="26"/>
      <c r="H146" s="18"/>
      <c r="I146" s="53"/>
      <c r="J146" s="30"/>
      <c r="K146" s="78"/>
    </row>
    <row r="147" spans="1:11" s="22" customFormat="1" ht="24.95" customHeight="1" x14ac:dyDescent="0.25">
      <c r="A147" s="21"/>
      <c r="F147" s="1"/>
      <c r="G147" s="26"/>
      <c r="H147" s="18"/>
      <c r="I147" s="53"/>
      <c r="J147" s="30"/>
      <c r="K147" s="78"/>
    </row>
    <row r="148" spans="1:11" s="22" customFormat="1" ht="24.95" customHeight="1" x14ac:dyDescent="0.25">
      <c r="A148" s="21"/>
      <c r="F148" s="1"/>
      <c r="G148" s="26"/>
      <c r="H148" s="18"/>
      <c r="I148" s="53"/>
      <c r="J148" s="30"/>
      <c r="K148" s="78"/>
    </row>
    <row r="149" spans="1:11" s="22" customFormat="1" ht="24.95" customHeight="1" x14ac:dyDescent="0.25">
      <c r="A149" s="21"/>
      <c r="F149" s="1"/>
      <c r="G149" s="26"/>
      <c r="H149" s="18"/>
      <c r="I149" s="53"/>
      <c r="J149" s="30"/>
      <c r="K149" s="78"/>
    </row>
    <row r="150" spans="1:11" s="22" customFormat="1" ht="24.95" customHeight="1" x14ac:dyDescent="0.25">
      <c r="A150" s="21"/>
      <c r="F150" s="1"/>
      <c r="G150" s="26"/>
      <c r="H150" s="18"/>
      <c r="I150" s="53"/>
      <c r="J150" s="30"/>
      <c r="K150" s="78"/>
    </row>
    <row r="151" spans="1:11" s="22" customFormat="1" ht="24.95" customHeight="1" x14ac:dyDescent="0.25">
      <c r="A151" s="21"/>
      <c r="F151" s="1"/>
      <c r="G151" s="26"/>
      <c r="H151" s="18"/>
      <c r="I151" s="53"/>
      <c r="J151" s="30"/>
      <c r="K151" s="78"/>
    </row>
    <row r="152" spans="1:11" s="22" customFormat="1" ht="24.95" customHeight="1" x14ac:dyDescent="0.25">
      <c r="A152" s="21"/>
      <c r="F152" s="1"/>
      <c r="G152" s="26"/>
      <c r="H152" s="18"/>
      <c r="I152" s="53"/>
      <c r="J152" s="30"/>
      <c r="K152" s="78"/>
    </row>
    <row r="153" spans="1:11" s="22" customFormat="1" ht="24.95" customHeight="1" x14ac:dyDescent="0.25">
      <c r="A153" s="21"/>
      <c r="F153" s="1"/>
      <c r="G153" s="26"/>
      <c r="H153" s="18"/>
      <c r="I153" s="53"/>
      <c r="J153" s="30"/>
      <c r="K153" s="78"/>
    </row>
    <row r="154" spans="1:11" s="22" customFormat="1" ht="24.95" customHeight="1" x14ac:dyDescent="0.25">
      <c r="A154" s="21"/>
      <c r="F154" s="1"/>
      <c r="G154" s="26"/>
      <c r="H154" s="18"/>
      <c r="I154" s="53"/>
      <c r="J154" s="30"/>
      <c r="K154" s="78"/>
    </row>
    <row r="155" spans="1:11" s="22" customFormat="1" ht="24.95" customHeight="1" x14ac:dyDescent="0.25">
      <c r="A155" s="21"/>
      <c r="F155" s="1"/>
      <c r="G155" s="26"/>
      <c r="H155" s="18"/>
      <c r="I155" s="53"/>
      <c r="J155" s="30"/>
      <c r="K155" s="78"/>
    </row>
    <row r="156" spans="1:11" s="22" customFormat="1" ht="24.95" customHeight="1" x14ac:dyDescent="0.25">
      <c r="A156" s="21"/>
      <c r="F156" s="1"/>
      <c r="G156" s="26"/>
      <c r="H156" s="18"/>
      <c r="I156" s="53"/>
      <c r="J156" s="30"/>
      <c r="K156" s="78"/>
    </row>
    <row r="157" spans="1:11" s="22" customFormat="1" ht="24.95" customHeight="1" x14ac:dyDescent="0.25">
      <c r="A157" s="21"/>
      <c r="F157" s="1"/>
      <c r="G157" s="26"/>
      <c r="H157" s="18"/>
      <c r="I157" s="53"/>
      <c r="J157" s="30"/>
      <c r="K157" s="78"/>
    </row>
    <row r="158" spans="1:11" s="22" customFormat="1" ht="24.95" customHeight="1" x14ac:dyDescent="0.25">
      <c r="A158" s="21"/>
      <c r="F158" s="1"/>
      <c r="G158" s="26"/>
      <c r="H158" s="18"/>
      <c r="I158" s="53"/>
      <c r="J158" s="30"/>
      <c r="K158" s="78"/>
    </row>
    <row r="159" spans="1:11" s="22" customFormat="1" ht="24.95" customHeight="1" x14ac:dyDescent="0.25">
      <c r="A159" s="21"/>
      <c r="F159" s="1"/>
      <c r="G159" s="26"/>
      <c r="H159" s="18"/>
      <c r="I159" s="53"/>
      <c r="J159" s="30"/>
      <c r="K159" s="78"/>
    </row>
    <row r="160" spans="1:11" s="22" customFormat="1" ht="24.95" customHeight="1" x14ac:dyDescent="0.25">
      <c r="A160" s="21"/>
      <c r="F160" s="1"/>
      <c r="G160" s="26"/>
      <c r="H160" s="18"/>
      <c r="I160" s="53"/>
      <c r="J160" s="30"/>
      <c r="K160" s="78"/>
    </row>
    <row r="161" spans="1:11" s="22" customFormat="1" ht="24.95" customHeight="1" x14ac:dyDescent="0.25">
      <c r="A161" s="21"/>
      <c r="F161" s="1"/>
      <c r="G161" s="26"/>
      <c r="H161" s="18"/>
      <c r="I161" s="53"/>
      <c r="J161" s="30"/>
      <c r="K161" s="78"/>
    </row>
    <row r="162" spans="1:11" s="22" customFormat="1" ht="24.95" customHeight="1" x14ac:dyDescent="0.25">
      <c r="A162" s="21"/>
      <c r="F162" s="1"/>
      <c r="G162" s="26"/>
      <c r="H162" s="18"/>
      <c r="I162" s="53"/>
      <c r="J162" s="30"/>
      <c r="K162" s="78"/>
    </row>
    <row r="163" spans="1:11" s="22" customFormat="1" ht="24.95" customHeight="1" x14ac:dyDescent="0.25">
      <c r="A163" s="21"/>
      <c r="F163" s="1"/>
      <c r="G163" s="26"/>
      <c r="H163" s="18"/>
      <c r="I163" s="53"/>
      <c r="J163" s="30"/>
      <c r="K163" s="78"/>
    </row>
    <row r="164" spans="1:11" s="22" customFormat="1" ht="24.95" customHeight="1" x14ac:dyDescent="0.25">
      <c r="A164" s="21"/>
      <c r="F164" s="1"/>
      <c r="G164" s="26"/>
      <c r="H164" s="18"/>
      <c r="I164" s="53"/>
      <c r="J164" s="30"/>
      <c r="K164" s="78"/>
    </row>
    <row r="165" spans="1:11" s="22" customFormat="1" ht="24.95" customHeight="1" x14ac:dyDescent="0.25">
      <c r="A165" s="21"/>
      <c r="F165" s="1"/>
      <c r="G165" s="26"/>
      <c r="H165" s="18"/>
      <c r="I165" s="53"/>
      <c r="J165" s="30"/>
      <c r="K165" s="78"/>
    </row>
    <row r="166" spans="1:11" s="22" customFormat="1" ht="24.95" customHeight="1" x14ac:dyDescent="0.25">
      <c r="A166" s="21"/>
      <c r="F166" s="1"/>
      <c r="G166" s="26"/>
      <c r="H166" s="18"/>
      <c r="I166" s="53"/>
      <c r="J166" s="30"/>
      <c r="K166" s="78"/>
    </row>
    <row r="167" spans="1:11" s="22" customFormat="1" ht="24.95" customHeight="1" x14ac:dyDescent="0.25">
      <c r="A167" s="21"/>
      <c r="F167" s="1"/>
      <c r="G167" s="26"/>
      <c r="H167" s="18"/>
      <c r="I167" s="53"/>
      <c r="J167" s="30"/>
      <c r="K167" s="78"/>
    </row>
    <row r="168" spans="1:11" s="22" customFormat="1" ht="24.95" customHeight="1" x14ac:dyDescent="0.25">
      <c r="A168" s="21"/>
      <c r="F168" s="1"/>
      <c r="G168" s="26"/>
      <c r="H168" s="18"/>
      <c r="I168" s="53"/>
      <c r="J168" s="30"/>
      <c r="K168" s="78"/>
    </row>
    <row r="169" spans="1:11" s="22" customFormat="1" ht="24.95" customHeight="1" x14ac:dyDescent="0.25">
      <c r="A169" s="21"/>
      <c r="F169" s="1"/>
      <c r="G169" s="26"/>
      <c r="H169" s="18"/>
      <c r="I169" s="53"/>
      <c r="J169" s="30"/>
      <c r="K169" s="78"/>
    </row>
    <row r="170" spans="1:11" s="22" customFormat="1" ht="24.95" customHeight="1" x14ac:dyDescent="0.25">
      <c r="A170" s="21"/>
      <c r="F170" s="1"/>
      <c r="G170" s="26"/>
      <c r="H170" s="18"/>
      <c r="I170" s="53"/>
      <c r="J170" s="30"/>
      <c r="K170" s="78"/>
    </row>
    <row r="171" spans="1:11" s="22" customFormat="1" ht="24.95" customHeight="1" x14ac:dyDescent="0.25">
      <c r="A171" s="21"/>
      <c r="F171" s="1"/>
      <c r="G171" s="26"/>
      <c r="H171" s="18"/>
      <c r="I171" s="53"/>
      <c r="J171" s="30"/>
      <c r="K171" s="78"/>
    </row>
    <row r="172" spans="1:11" s="22" customFormat="1" ht="24.95" customHeight="1" x14ac:dyDescent="0.25">
      <c r="A172" s="21"/>
      <c r="F172" s="1"/>
      <c r="G172" s="26"/>
      <c r="H172" s="18"/>
      <c r="I172" s="53"/>
      <c r="J172" s="30"/>
      <c r="K172" s="78"/>
    </row>
    <row r="173" spans="1:11" s="22" customFormat="1" ht="24.95" customHeight="1" x14ac:dyDescent="0.25">
      <c r="A173" s="21"/>
      <c r="F173" s="1"/>
      <c r="G173" s="26"/>
      <c r="H173" s="18"/>
      <c r="I173" s="53"/>
      <c r="J173" s="30"/>
      <c r="K173" s="78"/>
    </row>
    <row r="174" spans="1:11" s="22" customFormat="1" ht="24.95" customHeight="1" x14ac:dyDescent="0.25">
      <c r="A174" s="21"/>
      <c r="F174" s="1"/>
      <c r="G174" s="26"/>
      <c r="H174" s="18"/>
      <c r="I174" s="53"/>
      <c r="J174" s="30"/>
      <c r="K174" s="78"/>
    </row>
    <row r="175" spans="1:11" s="22" customFormat="1" ht="24.95" customHeight="1" x14ac:dyDescent="0.25">
      <c r="A175" s="21"/>
      <c r="F175" s="1"/>
      <c r="G175" s="26"/>
      <c r="H175" s="18"/>
      <c r="I175" s="53"/>
      <c r="J175" s="30"/>
      <c r="K175" s="78"/>
    </row>
    <row r="176" spans="1:11" s="22" customFormat="1" ht="24.95" customHeight="1" x14ac:dyDescent="0.25">
      <c r="A176" s="21"/>
      <c r="F176" s="1"/>
      <c r="G176" s="26"/>
      <c r="H176" s="18"/>
      <c r="I176" s="53"/>
      <c r="J176" s="30"/>
      <c r="K176" s="78"/>
    </row>
    <row r="177" spans="1:11" s="22" customFormat="1" ht="24.95" customHeight="1" x14ac:dyDescent="0.25">
      <c r="A177" s="21"/>
      <c r="F177" s="1"/>
      <c r="G177" s="26"/>
      <c r="H177" s="18"/>
      <c r="I177" s="53"/>
      <c r="J177" s="30"/>
      <c r="K177" s="78"/>
    </row>
    <row r="178" spans="1:11" s="22" customFormat="1" ht="24.95" customHeight="1" x14ac:dyDescent="0.25">
      <c r="A178" s="21"/>
      <c r="F178" s="1"/>
      <c r="G178" s="26"/>
      <c r="H178" s="18"/>
      <c r="I178" s="53"/>
      <c r="J178" s="30"/>
      <c r="K178" s="78"/>
    </row>
    <row r="179" spans="1:11" s="22" customFormat="1" ht="24.95" customHeight="1" x14ac:dyDescent="0.25">
      <c r="A179" s="21"/>
      <c r="F179" s="1"/>
      <c r="G179" s="26"/>
      <c r="H179" s="18"/>
      <c r="I179" s="53"/>
      <c r="J179" s="30"/>
      <c r="K179" s="78"/>
    </row>
    <row r="180" spans="1:11" s="22" customFormat="1" ht="24.95" customHeight="1" x14ac:dyDescent="0.25">
      <c r="A180" s="21"/>
      <c r="F180" s="1"/>
      <c r="G180" s="26"/>
      <c r="H180" s="18"/>
      <c r="I180" s="53"/>
      <c r="J180" s="30"/>
      <c r="K180" s="78"/>
    </row>
    <row r="181" spans="1:11" s="22" customFormat="1" ht="24.95" customHeight="1" x14ac:dyDescent="0.25">
      <c r="A181" s="21"/>
      <c r="F181" s="1"/>
      <c r="G181" s="26"/>
      <c r="H181" s="18"/>
      <c r="I181" s="53"/>
      <c r="J181" s="30"/>
      <c r="K181" s="78"/>
    </row>
    <row r="182" spans="1:11" s="22" customFormat="1" ht="24.95" customHeight="1" x14ac:dyDescent="0.25">
      <c r="A182" s="21"/>
      <c r="F182" s="1"/>
      <c r="G182" s="26"/>
      <c r="H182" s="18"/>
      <c r="I182" s="53"/>
      <c r="J182" s="30"/>
      <c r="K182" s="78"/>
    </row>
    <row r="183" spans="1:11" s="22" customFormat="1" ht="24.95" customHeight="1" x14ac:dyDescent="0.25">
      <c r="A183" s="21"/>
      <c r="F183" s="1"/>
      <c r="G183" s="26"/>
      <c r="H183" s="18"/>
      <c r="I183" s="53"/>
      <c r="J183" s="30"/>
      <c r="K183" s="78"/>
    </row>
    <row r="184" spans="1:11" s="22" customFormat="1" ht="24.95" customHeight="1" x14ac:dyDescent="0.25">
      <c r="A184" s="21"/>
      <c r="F184" s="1"/>
      <c r="G184" s="26"/>
      <c r="H184" s="18"/>
      <c r="I184" s="53"/>
      <c r="J184" s="30"/>
      <c r="K184" s="78"/>
    </row>
    <row r="185" spans="1:11" s="22" customFormat="1" ht="24.95" customHeight="1" x14ac:dyDescent="0.25">
      <c r="A185" s="21"/>
      <c r="F185" s="1"/>
      <c r="G185" s="26"/>
      <c r="H185" s="18"/>
      <c r="I185" s="53"/>
      <c r="J185" s="30"/>
      <c r="K185" s="78"/>
    </row>
    <row r="186" spans="1:11" s="22" customFormat="1" ht="24.95" customHeight="1" x14ac:dyDescent="0.25">
      <c r="A186" s="21"/>
      <c r="F186" s="1"/>
      <c r="G186" s="26"/>
      <c r="H186" s="18"/>
      <c r="I186" s="53"/>
      <c r="J186" s="30"/>
      <c r="K186" s="78"/>
    </row>
    <row r="187" spans="1:11" s="22" customFormat="1" ht="24.95" customHeight="1" x14ac:dyDescent="0.25">
      <c r="A187" s="21"/>
      <c r="F187" s="1"/>
      <c r="G187" s="26"/>
      <c r="H187" s="18"/>
      <c r="I187" s="53"/>
      <c r="J187" s="30"/>
      <c r="K187" s="78"/>
    </row>
    <row r="188" spans="1:11" s="22" customFormat="1" ht="24.95" customHeight="1" x14ac:dyDescent="0.25">
      <c r="A188" s="21"/>
      <c r="F188" s="1"/>
      <c r="G188" s="26"/>
      <c r="H188" s="18"/>
      <c r="I188" s="53"/>
      <c r="J188" s="30"/>
      <c r="K188" s="78"/>
    </row>
    <row r="189" spans="1:11" s="22" customFormat="1" ht="24.95" customHeight="1" x14ac:dyDescent="0.25">
      <c r="A189" s="21"/>
      <c r="F189" s="1"/>
      <c r="G189" s="26"/>
      <c r="H189" s="18"/>
      <c r="I189" s="53"/>
      <c r="J189" s="30"/>
      <c r="K189" s="78"/>
    </row>
    <row r="190" spans="1:11" s="22" customFormat="1" ht="24.95" customHeight="1" x14ac:dyDescent="0.25">
      <c r="A190" s="21"/>
      <c r="F190" s="1"/>
      <c r="G190" s="26"/>
      <c r="H190" s="18"/>
      <c r="I190" s="53"/>
      <c r="J190" s="30"/>
      <c r="K190" s="78"/>
    </row>
    <row r="191" spans="1:11" s="22" customFormat="1" ht="24.95" customHeight="1" x14ac:dyDescent="0.25">
      <c r="A191" s="21"/>
      <c r="F191" s="1"/>
      <c r="G191" s="26"/>
      <c r="H191" s="18"/>
      <c r="I191" s="53"/>
      <c r="J191" s="30"/>
      <c r="K191" s="78"/>
    </row>
    <row r="192" spans="1:11" s="22" customFormat="1" ht="24.95" customHeight="1" x14ac:dyDescent="0.25">
      <c r="A192" s="21"/>
      <c r="F192" s="1"/>
      <c r="G192" s="26"/>
      <c r="H192" s="18"/>
      <c r="I192" s="53"/>
      <c r="J192" s="30"/>
      <c r="K192" s="78"/>
    </row>
    <row r="193" spans="1:11" s="22" customFormat="1" ht="24.95" customHeight="1" x14ac:dyDescent="0.25">
      <c r="A193" s="21"/>
      <c r="F193" s="1"/>
      <c r="G193" s="26"/>
      <c r="H193" s="18"/>
      <c r="I193" s="53"/>
      <c r="J193" s="30"/>
      <c r="K193" s="78"/>
    </row>
    <row r="194" spans="1:11" s="22" customFormat="1" ht="24.95" customHeight="1" x14ac:dyDescent="0.25">
      <c r="A194" s="21"/>
      <c r="F194" s="1"/>
      <c r="G194" s="26"/>
      <c r="H194" s="18"/>
      <c r="I194" s="53"/>
      <c r="J194" s="30"/>
      <c r="K194" s="78"/>
    </row>
    <row r="195" spans="1:11" s="22" customFormat="1" ht="24.95" customHeight="1" x14ac:dyDescent="0.25">
      <c r="A195" s="21"/>
      <c r="F195" s="1"/>
      <c r="G195" s="26"/>
      <c r="H195" s="18"/>
      <c r="I195" s="53"/>
      <c r="J195" s="30"/>
      <c r="K195" s="78"/>
    </row>
    <row r="196" spans="1:11" s="22" customFormat="1" ht="24.95" customHeight="1" x14ac:dyDescent="0.25">
      <c r="A196" s="21"/>
      <c r="F196" s="1"/>
      <c r="G196" s="26"/>
      <c r="H196" s="18"/>
      <c r="I196" s="53"/>
      <c r="J196" s="30"/>
      <c r="K196" s="78"/>
    </row>
    <row r="197" spans="1:11" s="22" customFormat="1" ht="24.95" customHeight="1" x14ac:dyDescent="0.25">
      <c r="A197" s="21"/>
      <c r="F197" s="1"/>
      <c r="G197" s="26"/>
      <c r="H197" s="18"/>
      <c r="I197" s="53"/>
      <c r="J197" s="30"/>
      <c r="K197" s="78"/>
    </row>
    <row r="198" spans="1:11" s="22" customFormat="1" ht="24.95" customHeight="1" x14ac:dyDescent="0.25">
      <c r="A198" s="21"/>
      <c r="F198" s="1"/>
      <c r="G198" s="26"/>
      <c r="H198" s="18"/>
      <c r="I198" s="53"/>
      <c r="J198" s="30"/>
      <c r="K198" s="78"/>
    </row>
    <row r="199" spans="1:11" s="22" customFormat="1" ht="24.95" customHeight="1" x14ac:dyDescent="0.25">
      <c r="A199" s="21"/>
      <c r="F199" s="1"/>
      <c r="G199" s="26"/>
      <c r="H199" s="18"/>
      <c r="I199" s="53"/>
      <c r="J199" s="30"/>
      <c r="K199" s="78"/>
    </row>
    <row r="200" spans="1:11" s="22" customFormat="1" ht="24.95" customHeight="1" x14ac:dyDescent="0.25">
      <c r="A200" s="21"/>
      <c r="F200" s="1"/>
      <c r="G200" s="26"/>
      <c r="H200" s="18"/>
      <c r="I200" s="53"/>
      <c r="J200" s="30"/>
      <c r="K200" s="78"/>
    </row>
    <row r="201" spans="1:11" s="22" customFormat="1" ht="24.95" customHeight="1" x14ac:dyDescent="0.25">
      <c r="A201" s="21"/>
      <c r="F201" s="1"/>
      <c r="G201" s="26"/>
      <c r="H201" s="18"/>
      <c r="I201" s="53"/>
      <c r="J201" s="30"/>
      <c r="K201" s="78"/>
    </row>
    <row r="202" spans="1:11" s="22" customFormat="1" ht="24.95" customHeight="1" x14ac:dyDescent="0.25">
      <c r="A202" s="21"/>
      <c r="F202" s="1"/>
      <c r="G202" s="26"/>
      <c r="H202" s="18"/>
      <c r="I202" s="53"/>
      <c r="J202" s="30"/>
      <c r="K202" s="78"/>
    </row>
    <row r="203" spans="1:11" s="22" customFormat="1" ht="24.95" customHeight="1" x14ac:dyDescent="0.25">
      <c r="A203" s="21"/>
      <c r="F203" s="1"/>
      <c r="G203" s="26"/>
      <c r="H203" s="18"/>
      <c r="I203" s="53"/>
      <c r="J203" s="30"/>
      <c r="K203" s="78"/>
    </row>
    <row r="204" spans="1:11" s="22" customFormat="1" ht="24.95" customHeight="1" x14ac:dyDescent="0.25">
      <c r="A204" s="21"/>
      <c r="F204" s="1"/>
      <c r="G204" s="26"/>
      <c r="H204" s="18"/>
      <c r="I204" s="53"/>
      <c r="J204" s="30"/>
      <c r="K204" s="78"/>
    </row>
    <row r="205" spans="1:11" s="22" customFormat="1" ht="24.95" customHeight="1" x14ac:dyDescent="0.25">
      <c r="A205" s="21"/>
      <c r="F205" s="1"/>
      <c r="G205" s="26"/>
      <c r="H205" s="18"/>
      <c r="I205" s="53"/>
      <c r="J205" s="30"/>
      <c r="K205" s="78"/>
    </row>
    <row r="206" spans="1:11" s="22" customFormat="1" ht="24.95" customHeight="1" x14ac:dyDescent="0.25">
      <c r="A206" s="21"/>
      <c r="F206" s="1"/>
      <c r="G206" s="26"/>
      <c r="H206" s="18"/>
      <c r="I206" s="53"/>
      <c r="J206" s="30"/>
      <c r="K206" s="78"/>
    </row>
    <row r="207" spans="1:11" s="22" customFormat="1" ht="24.95" customHeight="1" x14ac:dyDescent="0.25">
      <c r="A207" s="21"/>
      <c r="F207" s="1"/>
      <c r="G207" s="26"/>
      <c r="H207" s="18"/>
      <c r="I207" s="53"/>
      <c r="J207" s="30"/>
      <c r="K207" s="78"/>
    </row>
    <row r="208" spans="1:11" s="22" customFormat="1" ht="24.95" customHeight="1" x14ac:dyDescent="0.25">
      <c r="A208" s="21"/>
      <c r="F208" s="1"/>
      <c r="G208" s="26"/>
      <c r="H208" s="18"/>
      <c r="I208" s="53"/>
      <c r="J208" s="30"/>
      <c r="K208" s="78"/>
    </row>
    <row r="209" spans="1:11" s="22" customFormat="1" ht="24.95" customHeight="1" x14ac:dyDescent="0.25">
      <c r="A209" s="21"/>
      <c r="F209" s="1"/>
      <c r="G209" s="26"/>
      <c r="H209" s="18"/>
      <c r="I209" s="53"/>
      <c r="J209" s="30"/>
      <c r="K209" s="78"/>
    </row>
    <row r="210" spans="1:11" s="22" customFormat="1" ht="24.95" customHeight="1" x14ac:dyDescent="0.25">
      <c r="A210" s="21"/>
      <c r="F210" s="1"/>
      <c r="G210" s="26"/>
      <c r="H210" s="18"/>
      <c r="I210" s="53"/>
      <c r="J210" s="30"/>
      <c r="K210" s="78"/>
    </row>
    <row r="211" spans="1:11" s="22" customFormat="1" ht="24.95" customHeight="1" x14ac:dyDescent="0.25">
      <c r="A211" s="21"/>
      <c r="F211" s="1"/>
      <c r="G211" s="26"/>
      <c r="H211" s="18"/>
      <c r="I211" s="53"/>
      <c r="J211" s="30"/>
      <c r="K211" s="78"/>
    </row>
    <row r="212" spans="1:11" s="22" customFormat="1" ht="24.95" customHeight="1" x14ac:dyDescent="0.25">
      <c r="A212" s="21"/>
      <c r="F212" s="1"/>
      <c r="G212" s="26"/>
      <c r="H212" s="18"/>
      <c r="I212" s="53"/>
      <c r="J212" s="30"/>
      <c r="K212" s="78"/>
    </row>
    <row r="213" spans="1:11" s="22" customFormat="1" ht="24.95" customHeight="1" x14ac:dyDescent="0.25">
      <c r="A213" s="21"/>
      <c r="F213" s="1"/>
      <c r="G213" s="26"/>
      <c r="H213" s="18"/>
      <c r="I213" s="53"/>
      <c r="J213" s="30"/>
      <c r="K213" s="78"/>
    </row>
    <row r="214" spans="1:11" s="22" customFormat="1" ht="24.95" customHeight="1" x14ac:dyDescent="0.25">
      <c r="A214" s="21"/>
      <c r="F214" s="1"/>
      <c r="G214" s="26"/>
      <c r="H214" s="18"/>
      <c r="I214" s="53"/>
      <c r="J214" s="30"/>
      <c r="K214" s="78"/>
    </row>
    <row r="215" spans="1:11" s="22" customFormat="1" ht="24.95" customHeight="1" x14ac:dyDescent="0.25">
      <c r="A215" s="21"/>
      <c r="F215" s="1"/>
      <c r="G215" s="26"/>
      <c r="H215" s="18"/>
      <c r="I215" s="53"/>
      <c r="J215" s="30"/>
      <c r="K215" s="78"/>
    </row>
    <row r="216" spans="1:11" s="22" customFormat="1" ht="24.95" customHeight="1" x14ac:dyDescent="0.25">
      <c r="A216" s="21"/>
      <c r="F216" s="1"/>
      <c r="G216" s="26"/>
      <c r="H216" s="18"/>
      <c r="I216" s="53"/>
      <c r="J216" s="30"/>
      <c r="K216" s="78"/>
    </row>
    <row r="217" spans="1:11" s="22" customFormat="1" ht="24.95" customHeight="1" x14ac:dyDescent="0.25">
      <c r="A217" s="21"/>
      <c r="F217" s="1"/>
      <c r="G217" s="26"/>
      <c r="H217" s="18"/>
      <c r="I217" s="53"/>
      <c r="J217" s="30"/>
      <c r="K217" s="78"/>
    </row>
    <row r="218" spans="1:11" s="22" customFormat="1" ht="24.95" customHeight="1" x14ac:dyDescent="0.25">
      <c r="A218" s="21"/>
      <c r="F218" s="1"/>
      <c r="G218" s="26"/>
      <c r="H218" s="18"/>
      <c r="I218" s="53"/>
      <c r="J218" s="30"/>
      <c r="K218" s="78"/>
    </row>
    <row r="219" spans="1:11" s="22" customFormat="1" ht="24.95" customHeight="1" x14ac:dyDescent="0.25">
      <c r="A219" s="21"/>
      <c r="F219" s="1"/>
      <c r="G219" s="26"/>
      <c r="H219" s="18"/>
      <c r="I219" s="53"/>
      <c r="J219" s="30"/>
      <c r="K219" s="78"/>
    </row>
    <row r="220" spans="1:11" s="22" customFormat="1" ht="24.95" customHeight="1" x14ac:dyDescent="0.25">
      <c r="A220" s="21"/>
      <c r="F220" s="1"/>
      <c r="G220" s="26"/>
      <c r="H220" s="18"/>
      <c r="I220" s="53"/>
      <c r="J220" s="30"/>
      <c r="K220" s="78"/>
    </row>
    <row r="221" spans="1:11" s="22" customFormat="1" ht="24.95" customHeight="1" x14ac:dyDescent="0.25">
      <c r="A221" s="21"/>
      <c r="F221" s="1"/>
      <c r="G221" s="26"/>
      <c r="H221" s="18"/>
      <c r="I221" s="53"/>
      <c r="J221" s="30"/>
      <c r="K221" s="78"/>
    </row>
    <row r="222" spans="1:11" s="22" customFormat="1" ht="24.95" customHeight="1" x14ac:dyDescent="0.25">
      <c r="A222" s="21"/>
      <c r="F222" s="1"/>
      <c r="G222" s="26"/>
      <c r="H222" s="18"/>
      <c r="I222" s="53"/>
      <c r="J222" s="30"/>
      <c r="K222" s="78"/>
    </row>
    <row r="223" spans="1:11" s="22" customFormat="1" ht="24.95" customHeight="1" x14ac:dyDescent="0.25">
      <c r="A223" s="21"/>
      <c r="F223" s="1"/>
      <c r="G223" s="26"/>
      <c r="H223" s="18"/>
      <c r="I223" s="53"/>
      <c r="J223" s="30"/>
      <c r="K223" s="78"/>
    </row>
    <row r="224" spans="1:11" s="22" customFormat="1" ht="24.95" customHeight="1" x14ac:dyDescent="0.25">
      <c r="A224" s="21"/>
      <c r="F224" s="1"/>
      <c r="G224" s="26"/>
      <c r="H224" s="18"/>
      <c r="I224" s="53"/>
      <c r="J224" s="30"/>
      <c r="K224" s="78"/>
    </row>
    <row r="225" spans="1:11" s="22" customFormat="1" ht="24.95" customHeight="1" x14ac:dyDescent="0.25">
      <c r="A225" s="21"/>
      <c r="F225" s="1"/>
      <c r="G225" s="26"/>
      <c r="H225" s="18"/>
      <c r="I225" s="53"/>
      <c r="J225" s="30"/>
      <c r="K225" s="78"/>
    </row>
    <row r="226" spans="1:11" s="22" customFormat="1" ht="24.95" customHeight="1" x14ac:dyDescent="0.25">
      <c r="A226" s="21"/>
      <c r="F226" s="1"/>
      <c r="G226" s="26"/>
      <c r="H226" s="18"/>
      <c r="I226" s="53"/>
      <c r="J226" s="30"/>
      <c r="K226" s="78"/>
    </row>
    <row r="227" spans="1:11" s="22" customFormat="1" ht="24.95" customHeight="1" x14ac:dyDescent="0.25">
      <c r="A227" s="21"/>
      <c r="F227" s="1"/>
      <c r="G227" s="26"/>
      <c r="H227" s="18"/>
      <c r="I227" s="53"/>
      <c r="J227" s="30"/>
      <c r="K227" s="78"/>
    </row>
    <row r="228" spans="1:11" s="22" customFormat="1" ht="24.95" customHeight="1" x14ac:dyDescent="0.25">
      <c r="A228" s="21"/>
      <c r="F228" s="1"/>
      <c r="G228" s="26"/>
      <c r="H228" s="18"/>
      <c r="I228" s="53"/>
      <c r="J228" s="30"/>
      <c r="K228" s="78"/>
    </row>
    <row r="229" spans="1:11" s="22" customFormat="1" ht="24.95" customHeight="1" x14ac:dyDescent="0.25">
      <c r="A229" s="21"/>
      <c r="F229" s="1"/>
      <c r="G229" s="26"/>
      <c r="H229" s="18"/>
      <c r="I229" s="53"/>
      <c r="J229" s="30"/>
      <c r="K229" s="78"/>
    </row>
    <row r="230" spans="1:11" s="22" customFormat="1" ht="24.95" customHeight="1" x14ac:dyDescent="0.25">
      <c r="A230" s="21"/>
      <c r="F230" s="1"/>
      <c r="G230" s="26"/>
      <c r="H230" s="18"/>
      <c r="I230" s="53"/>
      <c r="J230" s="30"/>
      <c r="K230" s="78"/>
    </row>
    <row r="231" spans="1:11" s="22" customFormat="1" ht="24.95" customHeight="1" x14ac:dyDescent="0.25">
      <c r="A231" s="21"/>
      <c r="F231" s="1"/>
      <c r="G231" s="26"/>
      <c r="H231" s="18"/>
      <c r="I231" s="53"/>
      <c r="J231" s="30"/>
      <c r="K231" s="78"/>
    </row>
    <row r="232" spans="1:11" s="22" customFormat="1" ht="24.95" customHeight="1" x14ac:dyDescent="0.25">
      <c r="A232" s="21"/>
      <c r="F232" s="1"/>
      <c r="G232" s="26"/>
      <c r="H232" s="18"/>
      <c r="I232" s="53"/>
      <c r="J232" s="30"/>
      <c r="K232" s="78"/>
    </row>
    <row r="233" spans="1:11" s="22" customFormat="1" ht="24.95" customHeight="1" x14ac:dyDescent="0.25">
      <c r="A233" s="21"/>
      <c r="F233" s="1"/>
      <c r="G233" s="26"/>
      <c r="H233" s="18"/>
      <c r="I233" s="53"/>
      <c r="J233" s="30"/>
      <c r="K233" s="78"/>
    </row>
    <row r="234" spans="1:11" s="22" customFormat="1" ht="24.95" customHeight="1" x14ac:dyDescent="0.25">
      <c r="A234" s="21"/>
      <c r="F234" s="1"/>
      <c r="G234" s="26"/>
      <c r="H234" s="18"/>
      <c r="I234" s="53"/>
      <c r="J234" s="30"/>
      <c r="K234" s="78"/>
    </row>
    <row r="235" spans="1:11" s="22" customFormat="1" ht="24.95" customHeight="1" x14ac:dyDescent="0.25">
      <c r="A235" s="21"/>
      <c r="F235" s="1"/>
      <c r="G235" s="26"/>
      <c r="H235" s="18"/>
      <c r="I235" s="53"/>
      <c r="J235" s="30"/>
      <c r="K235" s="78"/>
    </row>
    <row r="236" spans="1:11" s="22" customFormat="1" ht="24.95" customHeight="1" x14ac:dyDescent="0.25">
      <c r="A236" s="21"/>
      <c r="F236" s="1"/>
      <c r="G236" s="26"/>
      <c r="H236" s="18"/>
      <c r="I236" s="53"/>
      <c r="J236" s="30"/>
      <c r="K236" s="78"/>
    </row>
    <row r="237" spans="1:11" s="22" customFormat="1" ht="24.95" customHeight="1" x14ac:dyDescent="0.25">
      <c r="A237" s="21"/>
      <c r="F237" s="1"/>
      <c r="G237" s="26"/>
      <c r="H237" s="18"/>
      <c r="I237" s="53"/>
      <c r="J237" s="30"/>
      <c r="K237" s="78"/>
    </row>
    <row r="238" spans="1:11" s="22" customFormat="1" ht="24.95" customHeight="1" x14ac:dyDescent="0.25">
      <c r="A238" s="21"/>
      <c r="F238" s="1"/>
      <c r="G238" s="26"/>
      <c r="H238" s="18"/>
      <c r="I238" s="53"/>
      <c r="J238" s="30"/>
      <c r="K238" s="78"/>
    </row>
    <row r="239" spans="1:11" s="22" customFormat="1" ht="24.95" customHeight="1" x14ac:dyDescent="0.25">
      <c r="A239" s="21"/>
      <c r="F239" s="1"/>
      <c r="G239" s="26"/>
      <c r="H239" s="18"/>
      <c r="I239" s="53"/>
      <c r="J239" s="30"/>
      <c r="K239" s="78"/>
    </row>
    <row r="240" spans="1:11" s="22" customFormat="1" ht="24.95" customHeight="1" x14ac:dyDescent="0.25">
      <c r="A240" s="21"/>
      <c r="F240" s="1"/>
      <c r="G240" s="26"/>
      <c r="H240" s="18"/>
      <c r="I240" s="53"/>
      <c r="J240" s="30"/>
      <c r="K240" s="78"/>
    </row>
    <row r="241" spans="1:11" s="22" customFormat="1" ht="24.95" customHeight="1" x14ac:dyDescent="0.25">
      <c r="A241" s="21"/>
      <c r="F241" s="1"/>
      <c r="G241" s="26"/>
      <c r="H241" s="18"/>
      <c r="I241" s="53"/>
      <c r="J241" s="30"/>
      <c r="K241" s="78"/>
    </row>
    <row r="242" spans="1:11" s="22" customFormat="1" ht="24.95" customHeight="1" x14ac:dyDescent="0.25">
      <c r="A242" s="21"/>
      <c r="F242" s="1"/>
      <c r="G242" s="26"/>
      <c r="H242" s="18"/>
      <c r="I242" s="53"/>
      <c r="J242" s="30"/>
      <c r="K242" s="78"/>
    </row>
    <row r="243" spans="1:11" s="22" customFormat="1" ht="24.95" customHeight="1" x14ac:dyDescent="0.25">
      <c r="A243" s="21"/>
      <c r="F243" s="1"/>
      <c r="G243" s="26"/>
      <c r="H243" s="18"/>
      <c r="I243" s="53"/>
      <c r="J243" s="30"/>
      <c r="K243" s="78"/>
    </row>
    <row r="244" spans="1:11" s="22" customFormat="1" ht="24.95" customHeight="1" x14ac:dyDescent="0.25">
      <c r="A244" s="21"/>
      <c r="F244" s="1"/>
      <c r="G244" s="26"/>
      <c r="H244" s="18"/>
      <c r="I244" s="53"/>
      <c r="J244" s="30"/>
      <c r="K244" s="78"/>
    </row>
    <row r="245" spans="1:11" s="22" customFormat="1" ht="24.95" customHeight="1" x14ac:dyDescent="0.25">
      <c r="A245" s="21"/>
      <c r="F245" s="1"/>
      <c r="G245" s="26"/>
      <c r="H245" s="18"/>
      <c r="I245" s="53"/>
      <c r="J245" s="30"/>
      <c r="K245" s="78"/>
    </row>
    <row r="246" spans="1:11" s="22" customFormat="1" ht="24.95" customHeight="1" x14ac:dyDescent="0.25">
      <c r="A246" s="21"/>
      <c r="F246" s="1"/>
      <c r="G246" s="26"/>
      <c r="H246" s="18"/>
      <c r="I246" s="53"/>
      <c r="J246" s="30"/>
      <c r="K246" s="78"/>
    </row>
    <row r="247" spans="1:11" s="22" customFormat="1" ht="24.95" customHeight="1" x14ac:dyDescent="0.25">
      <c r="A247" s="21"/>
      <c r="F247" s="1"/>
      <c r="G247" s="26"/>
      <c r="H247" s="18"/>
      <c r="I247" s="53"/>
      <c r="J247" s="30"/>
      <c r="K247" s="78"/>
    </row>
    <row r="248" spans="1:11" s="22" customFormat="1" ht="24.95" customHeight="1" x14ac:dyDescent="0.25">
      <c r="A248" s="21"/>
      <c r="F248" s="1"/>
      <c r="G248" s="26"/>
      <c r="H248" s="18"/>
      <c r="I248" s="53"/>
      <c r="J248" s="30"/>
      <c r="K248" s="78"/>
    </row>
    <row r="249" spans="1:11" s="22" customFormat="1" ht="24.95" customHeight="1" x14ac:dyDescent="0.25">
      <c r="A249" s="21"/>
      <c r="F249" s="1"/>
      <c r="G249" s="26"/>
      <c r="H249" s="18"/>
      <c r="I249" s="53"/>
      <c r="J249" s="30"/>
      <c r="K249" s="78"/>
    </row>
    <row r="250" spans="1:11" s="22" customFormat="1" ht="24.95" customHeight="1" x14ac:dyDescent="0.25">
      <c r="A250" s="21"/>
      <c r="F250" s="1"/>
      <c r="G250" s="26"/>
      <c r="H250" s="18"/>
      <c r="I250" s="53"/>
      <c r="J250" s="30"/>
      <c r="K250" s="78"/>
    </row>
    <row r="251" spans="1:11" s="22" customFormat="1" ht="24.95" customHeight="1" x14ac:dyDescent="0.25">
      <c r="A251" s="21"/>
      <c r="F251" s="1"/>
      <c r="G251" s="26"/>
      <c r="H251" s="18"/>
      <c r="I251" s="53"/>
      <c r="J251" s="30"/>
      <c r="K251" s="78"/>
    </row>
    <row r="252" spans="1:11" s="22" customFormat="1" ht="24.95" customHeight="1" x14ac:dyDescent="0.25">
      <c r="A252" s="21"/>
      <c r="F252" s="1"/>
      <c r="G252" s="26"/>
      <c r="H252" s="18"/>
      <c r="I252" s="53"/>
      <c r="J252" s="30"/>
      <c r="K252" s="78"/>
    </row>
    <row r="253" spans="1:11" s="22" customFormat="1" ht="24.95" customHeight="1" x14ac:dyDescent="0.25">
      <c r="A253" s="21"/>
      <c r="F253" s="1"/>
      <c r="G253" s="26"/>
      <c r="H253" s="18"/>
      <c r="I253" s="53"/>
      <c r="J253" s="30"/>
      <c r="K253" s="78"/>
    </row>
    <row r="254" spans="1:11" s="22" customFormat="1" ht="24.95" customHeight="1" x14ac:dyDescent="0.25">
      <c r="A254" s="21"/>
      <c r="F254" s="1"/>
      <c r="G254" s="26"/>
      <c r="H254" s="18"/>
      <c r="I254" s="53"/>
      <c r="J254" s="30"/>
      <c r="K254" s="78"/>
    </row>
    <row r="255" spans="1:11" s="22" customFormat="1" ht="24.95" customHeight="1" x14ac:dyDescent="0.25">
      <c r="A255" s="21"/>
      <c r="F255" s="1"/>
      <c r="G255" s="26"/>
      <c r="H255" s="18"/>
      <c r="I255" s="53"/>
      <c r="J255" s="30"/>
      <c r="K255" s="78"/>
    </row>
    <row r="256" spans="1:11" s="22" customFormat="1" ht="24.95" customHeight="1" x14ac:dyDescent="0.25">
      <c r="A256" s="21"/>
      <c r="F256" s="1"/>
      <c r="G256" s="26"/>
      <c r="H256" s="18"/>
      <c r="I256" s="53"/>
      <c r="J256" s="30"/>
      <c r="K256" s="78"/>
    </row>
    <row r="257" spans="1:11" s="22" customFormat="1" ht="24.95" customHeight="1" x14ac:dyDescent="0.25">
      <c r="A257" s="21"/>
      <c r="F257" s="1"/>
      <c r="G257" s="26"/>
      <c r="H257" s="18"/>
      <c r="I257" s="53"/>
      <c r="J257" s="30"/>
      <c r="K257" s="78"/>
    </row>
    <row r="258" spans="1:11" s="22" customFormat="1" ht="24.95" customHeight="1" x14ac:dyDescent="0.25">
      <c r="A258" s="21"/>
      <c r="F258" s="1"/>
      <c r="G258" s="26"/>
      <c r="H258" s="18"/>
      <c r="I258" s="53"/>
      <c r="J258" s="30"/>
      <c r="K258" s="78"/>
    </row>
    <row r="259" spans="1:11" s="22" customFormat="1" ht="24.95" customHeight="1" x14ac:dyDescent="0.25">
      <c r="A259" s="21"/>
      <c r="F259" s="1"/>
      <c r="G259" s="26"/>
      <c r="H259" s="18"/>
      <c r="I259" s="53"/>
      <c r="J259" s="30"/>
      <c r="K259" s="78"/>
    </row>
    <row r="260" spans="1:11" s="22" customFormat="1" ht="24.95" customHeight="1" x14ac:dyDescent="0.25">
      <c r="A260" s="21"/>
      <c r="F260" s="1"/>
      <c r="G260" s="26"/>
      <c r="H260" s="18"/>
      <c r="I260" s="53"/>
      <c r="J260" s="30"/>
      <c r="K260" s="78"/>
    </row>
    <row r="261" spans="1:11" s="22" customFormat="1" ht="24.95" customHeight="1" x14ac:dyDescent="0.25">
      <c r="A261" s="21"/>
      <c r="F261" s="1"/>
      <c r="G261" s="26"/>
      <c r="H261" s="18"/>
      <c r="I261" s="53"/>
      <c r="J261" s="30"/>
      <c r="K261" s="78"/>
    </row>
    <row r="262" spans="1:11" s="22" customFormat="1" ht="24.95" customHeight="1" x14ac:dyDescent="0.25">
      <c r="A262" s="21"/>
      <c r="F262" s="1"/>
      <c r="G262" s="26"/>
      <c r="H262" s="18"/>
      <c r="I262" s="53"/>
      <c r="J262" s="30"/>
      <c r="K262" s="78"/>
    </row>
    <row r="263" spans="1:11" s="22" customFormat="1" ht="24.95" customHeight="1" x14ac:dyDescent="0.25">
      <c r="A263" s="21"/>
      <c r="F263" s="1"/>
      <c r="G263" s="26"/>
      <c r="H263" s="18"/>
      <c r="I263" s="53"/>
      <c r="J263" s="30"/>
      <c r="K263" s="78"/>
    </row>
    <row r="264" spans="1:11" s="22" customFormat="1" ht="24.95" customHeight="1" x14ac:dyDescent="0.25">
      <c r="A264" s="21"/>
      <c r="F264" s="1"/>
      <c r="G264" s="26"/>
      <c r="H264" s="18"/>
      <c r="I264" s="53"/>
      <c r="J264" s="30"/>
      <c r="K264" s="78"/>
    </row>
    <row r="265" spans="1:11" s="22" customFormat="1" ht="24.95" customHeight="1" x14ac:dyDescent="0.25">
      <c r="A265" s="21"/>
      <c r="F265" s="1"/>
      <c r="G265" s="26"/>
      <c r="H265" s="18"/>
      <c r="I265" s="53"/>
      <c r="J265" s="30"/>
      <c r="K265" s="78"/>
    </row>
    <row r="266" spans="1:11" s="22" customFormat="1" ht="24.95" customHeight="1" x14ac:dyDescent="0.25">
      <c r="A266" s="21"/>
      <c r="F266" s="1"/>
      <c r="G266" s="26"/>
      <c r="H266" s="18"/>
      <c r="I266" s="53"/>
      <c r="J266" s="30"/>
      <c r="K266" s="78"/>
    </row>
    <row r="267" spans="1:11" s="22" customFormat="1" ht="24.95" customHeight="1" x14ac:dyDescent="0.25">
      <c r="A267" s="21"/>
      <c r="F267" s="1"/>
      <c r="G267" s="26"/>
      <c r="H267" s="18"/>
      <c r="I267" s="53"/>
      <c r="J267" s="30"/>
      <c r="K267" s="78"/>
    </row>
    <row r="268" spans="1:11" s="22" customFormat="1" ht="24.95" customHeight="1" x14ac:dyDescent="0.25">
      <c r="A268" s="21"/>
      <c r="F268" s="1"/>
      <c r="G268" s="26"/>
      <c r="H268" s="18"/>
      <c r="I268" s="53"/>
      <c r="J268" s="30"/>
      <c r="K268" s="78"/>
    </row>
    <row r="269" spans="1:11" s="22" customFormat="1" ht="24.95" customHeight="1" x14ac:dyDescent="0.25">
      <c r="A269" s="21"/>
      <c r="F269" s="1"/>
      <c r="G269" s="26"/>
      <c r="H269" s="18"/>
      <c r="I269" s="53"/>
      <c r="J269" s="30"/>
      <c r="K269" s="78"/>
    </row>
    <row r="270" spans="1:11" s="22" customFormat="1" ht="24.95" customHeight="1" x14ac:dyDescent="0.25">
      <c r="A270" s="21"/>
      <c r="F270" s="1"/>
      <c r="G270" s="26"/>
      <c r="H270" s="18"/>
      <c r="I270" s="53"/>
      <c r="J270" s="30"/>
      <c r="K270" s="78"/>
    </row>
    <row r="271" spans="1:11" s="22" customFormat="1" ht="24.95" customHeight="1" x14ac:dyDescent="0.25">
      <c r="A271" s="21"/>
      <c r="F271" s="1"/>
      <c r="G271" s="26"/>
      <c r="H271" s="18"/>
      <c r="I271" s="53"/>
      <c r="J271" s="30"/>
      <c r="K271" s="78"/>
    </row>
    <row r="272" spans="1:11" s="22" customFormat="1" ht="24.95" customHeight="1" x14ac:dyDescent="0.25">
      <c r="A272" s="21"/>
      <c r="F272" s="1"/>
      <c r="G272" s="26"/>
      <c r="H272" s="18"/>
      <c r="I272" s="53"/>
      <c r="J272" s="30"/>
      <c r="K272" s="78"/>
    </row>
    <row r="273" spans="1:11" s="22" customFormat="1" ht="24.95" customHeight="1" x14ac:dyDescent="0.25">
      <c r="A273" s="21"/>
      <c r="F273" s="1"/>
      <c r="G273" s="26"/>
      <c r="H273" s="18"/>
      <c r="I273" s="53"/>
      <c r="J273" s="30"/>
      <c r="K273" s="78"/>
    </row>
    <row r="274" spans="1:11" s="22" customFormat="1" ht="24.95" customHeight="1" x14ac:dyDescent="0.25">
      <c r="A274" s="21"/>
      <c r="F274" s="1"/>
      <c r="G274" s="26"/>
      <c r="H274" s="18"/>
      <c r="I274" s="53"/>
      <c r="J274" s="30"/>
      <c r="K274" s="78"/>
    </row>
    <row r="275" spans="1:11" s="22" customFormat="1" ht="24.95" customHeight="1" x14ac:dyDescent="0.25">
      <c r="A275" s="21"/>
      <c r="F275" s="1"/>
      <c r="G275" s="26"/>
      <c r="H275" s="18"/>
      <c r="I275" s="53"/>
      <c r="J275" s="30"/>
      <c r="K275" s="78"/>
    </row>
    <row r="276" spans="1:11" s="22" customFormat="1" ht="24.95" customHeight="1" x14ac:dyDescent="0.25">
      <c r="A276" s="21"/>
      <c r="F276" s="1"/>
      <c r="G276" s="26"/>
      <c r="H276" s="18"/>
      <c r="I276" s="53"/>
      <c r="J276" s="30"/>
      <c r="K276" s="78"/>
    </row>
    <row r="277" spans="1:11" s="22" customFormat="1" ht="24.95" customHeight="1" x14ac:dyDescent="0.25">
      <c r="A277" s="21"/>
      <c r="F277" s="1"/>
      <c r="G277" s="26"/>
      <c r="H277" s="18"/>
      <c r="I277" s="53"/>
      <c r="J277" s="30"/>
      <c r="K277" s="78"/>
    </row>
    <row r="278" spans="1:11" s="22" customFormat="1" ht="24.95" customHeight="1" x14ac:dyDescent="0.25">
      <c r="A278" s="21"/>
      <c r="F278" s="1"/>
      <c r="G278" s="26"/>
      <c r="H278" s="18"/>
      <c r="I278" s="53"/>
      <c r="J278" s="30"/>
      <c r="K278" s="78"/>
    </row>
    <row r="279" spans="1:11" s="22" customFormat="1" ht="24.95" customHeight="1" x14ac:dyDescent="0.25">
      <c r="A279" s="21"/>
      <c r="F279" s="1"/>
      <c r="G279" s="26"/>
      <c r="H279" s="18"/>
      <c r="I279" s="53"/>
      <c r="J279" s="30"/>
      <c r="K279" s="78"/>
    </row>
    <row r="280" spans="1:11" s="22" customFormat="1" ht="24.95" customHeight="1" x14ac:dyDescent="0.25">
      <c r="A280" s="21"/>
      <c r="F280" s="1"/>
      <c r="G280" s="26"/>
      <c r="H280" s="18"/>
      <c r="I280" s="53"/>
      <c r="J280" s="30"/>
      <c r="K280" s="78"/>
    </row>
    <row r="281" spans="1:11" s="22" customFormat="1" ht="24.95" customHeight="1" x14ac:dyDescent="0.25">
      <c r="A281" s="21"/>
      <c r="F281" s="1"/>
      <c r="G281" s="26"/>
      <c r="H281" s="18"/>
      <c r="I281" s="53"/>
      <c r="J281" s="30"/>
      <c r="K281" s="78"/>
    </row>
    <row r="282" spans="1:11" s="22" customFormat="1" ht="24.95" customHeight="1" x14ac:dyDescent="0.25">
      <c r="A282" s="21"/>
      <c r="F282" s="1"/>
      <c r="G282" s="26"/>
      <c r="H282" s="18"/>
      <c r="I282" s="53"/>
      <c r="J282" s="30"/>
      <c r="K282" s="78"/>
    </row>
    <row r="283" spans="1:11" s="22" customFormat="1" ht="24.95" customHeight="1" x14ac:dyDescent="0.25">
      <c r="A283" s="21"/>
      <c r="F283" s="1"/>
      <c r="G283" s="26"/>
      <c r="H283" s="18"/>
      <c r="I283" s="53"/>
      <c r="J283" s="30"/>
      <c r="K283" s="78"/>
    </row>
    <row r="284" spans="1:11" s="22" customFormat="1" ht="24.95" customHeight="1" x14ac:dyDescent="0.25">
      <c r="A284" s="21"/>
      <c r="F284" s="1"/>
      <c r="G284" s="26"/>
      <c r="H284" s="18"/>
      <c r="I284" s="53"/>
      <c r="J284" s="30"/>
      <c r="K284" s="78"/>
    </row>
    <row r="285" spans="1:11" s="22" customFormat="1" ht="24.95" customHeight="1" x14ac:dyDescent="0.25">
      <c r="A285" s="21"/>
      <c r="F285" s="1"/>
      <c r="G285" s="26"/>
      <c r="H285" s="18"/>
      <c r="I285" s="53"/>
      <c r="J285" s="30"/>
      <c r="K285" s="78"/>
    </row>
    <row r="286" spans="1:11" s="22" customFormat="1" ht="24.95" customHeight="1" x14ac:dyDescent="0.25">
      <c r="A286" s="21"/>
      <c r="F286" s="1"/>
      <c r="G286" s="26"/>
      <c r="H286" s="18"/>
      <c r="I286" s="53"/>
      <c r="J286" s="30"/>
      <c r="K286" s="78"/>
    </row>
    <row r="287" spans="1:11" s="22" customFormat="1" ht="24.95" customHeight="1" x14ac:dyDescent="0.25">
      <c r="A287" s="21"/>
      <c r="F287" s="1"/>
      <c r="G287" s="26"/>
      <c r="H287" s="18"/>
      <c r="I287" s="53"/>
      <c r="J287" s="30"/>
      <c r="K287" s="78"/>
    </row>
    <row r="288" spans="1:11" s="22" customFormat="1" ht="24.95" customHeight="1" x14ac:dyDescent="0.25">
      <c r="A288" s="21"/>
      <c r="F288" s="1"/>
      <c r="G288" s="26"/>
      <c r="H288" s="18"/>
      <c r="I288" s="53"/>
      <c r="J288" s="30"/>
      <c r="K288" s="78"/>
    </row>
    <row r="289" spans="1:11" s="22" customFormat="1" ht="24.95" customHeight="1" x14ac:dyDescent="0.25">
      <c r="A289" s="21"/>
      <c r="F289" s="1"/>
      <c r="G289" s="26"/>
      <c r="H289" s="18"/>
      <c r="I289" s="53"/>
      <c r="J289" s="30"/>
      <c r="K289" s="78"/>
    </row>
    <row r="290" spans="1:11" s="22" customFormat="1" ht="24.95" customHeight="1" x14ac:dyDescent="0.25">
      <c r="A290" s="21"/>
      <c r="F290" s="1"/>
      <c r="G290" s="26"/>
      <c r="H290" s="18"/>
      <c r="I290" s="53"/>
      <c r="J290" s="30"/>
      <c r="K290" s="78"/>
    </row>
    <row r="291" spans="1:11" s="22" customFormat="1" ht="24.95" customHeight="1" x14ac:dyDescent="0.25">
      <c r="A291" s="21"/>
      <c r="F291" s="1"/>
      <c r="G291" s="26"/>
      <c r="H291" s="18"/>
      <c r="I291" s="53"/>
      <c r="J291" s="30"/>
      <c r="K291" s="78"/>
    </row>
    <row r="292" spans="1:11" s="22" customFormat="1" ht="24.95" customHeight="1" x14ac:dyDescent="0.25">
      <c r="A292" s="21"/>
      <c r="F292" s="1"/>
      <c r="G292" s="26"/>
      <c r="H292" s="18"/>
      <c r="I292" s="53"/>
      <c r="J292" s="30"/>
      <c r="K292" s="78"/>
    </row>
    <row r="293" spans="1:11" s="22" customFormat="1" ht="24.95" customHeight="1" x14ac:dyDescent="0.25">
      <c r="A293" s="21"/>
      <c r="F293" s="1"/>
      <c r="G293" s="26"/>
      <c r="H293" s="18"/>
      <c r="I293" s="53"/>
      <c r="J293" s="30"/>
      <c r="K293" s="78"/>
    </row>
    <row r="294" spans="1:11" s="22" customFormat="1" ht="24.95" customHeight="1" x14ac:dyDescent="0.25">
      <c r="A294" s="21"/>
      <c r="F294" s="1"/>
      <c r="G294" s="26"/>
      <c r="H294" s="18"/>
      <c r="I294" s="53"/>
      <c r="J294" s="30"/>
      <c r="K294" s="78"/>
    </row>
    <row r="295" spans="1:11" s="22" customFormat="1" ht="24.95" customHeight="1" x14ac:dyDescent="0.25">
      <c r="A295" s="21"/>
      <c r="F295" s="1"/>
      <c r="G295" s="26"/>
      <c r="H295" s="18"/>
      <c r="I295" s="53"/>
      <c r="J295" s="30"/>
      <c r="K295" s="78"/>
    </row>
    <row r="296" spans="1:11" s="22" customFormat="1" ht="24.95" customHeight="1" x14ac:dyDescent="0.25">
      <c r="A296" s="21"/>
      <c r="F296" s="1"/>
      <c r="G296" s="26"/>
      <c r="H296" s="18"/>
      <c r="I296" s="53"/>
      <c r="J296" s="30"/>
      <c r="K296" s="78"/>
    </row>
    <row r="297" spans="1:11" s="22" customFormat="1" ht="24.95" customHeight="1" x14ac:dyDescent="0.25">
      <c r="A297" s="21"/>
      <c r="F297" s="1"/>
      <c r="G297" s="26"/>
      <c r="H297" s="18"/>
      <c r="I297" s="53"/>
      <c r="J297" s="30"/>
      <c r="K297" s="78"/>
    </row>
    <row r="298" spans="1:11" s="22" customFormat="1" ht="24.95" customHeight="1" x14ac:dyDescent="0.25">
      <c r="A298" s="21"/>
      <c r="F298" s="1"/>
      <c r="G298" s="26"/>
      <c r="H298" s="18"/>
      <c r="I298" s="53"/>
      <c r="J298" s="30"/>
      <c r="K298" s="78"/>
    </row>
    <row r="299" spans="1:11" s="22" customFormat="1" ht="24.95" customHeight="1" x14ac:dyDescent="0.25">
      <c r="A299" s="21"/>
      <c r="F299" s="1"/>
      <c r="G299" s="26"/>
      <c r="H299" s="18"/>
      <c r="I299" s="53"/>
      <c r="J299" s="30"/>
      <c r="K299" s="78"/>
    </row>
    <row r="300" spans="1:11" s="22" customFormat="1" ht="24.95" customHeight="1" x14ac:dyDescent="0.25">
      <c r="A300" s="21"/>
      <c r="F300" s="1"/>
      <c r="G300" s="26"/>
      <c r="H300" s="18"/>
      <c r="I300" s="53"/>
      <c r="J300" s="30"/>
      <c r="K300" s="78"/>
    </row>
    <row r="301" spans="1:11" s="22" customFormat="1" ht="24.95" customHeight="1" x14ac:dyDescent="0.25">
      <c r="A301" s="21"/>
      <c r="F301" s="1"/>
      <c r="G301" s="26"/>
      <c r="H301" s="18"/>
      <c r="I301" s="53"/>
      <c r="J301" s="30"/>
      <c r="K301" s="78"/>
    </row>
    <row r="302" spans="1:11" s="22" customFormat="1" ht="24.95" customHeight="1" x14ac:dyDescent="0.25">
      <c r="A302" s="21"/>
      <c r="F302" s="1"/>
      <c r="G302" s="26"/>
      <c r="H302" s="18"/>
      <c r="I302" s="53"/>
      <c r="J302" s="30"/>
      <c r="K302" s="78"/>
    </row>
    <row r="303" spans="1:11" s="22" customFormat="1" ht="24.95" customHeight="1" x14ac:dyDescent="0.25">
      <c r="A303" s="21"/>
      <c r="F303" s="1"/>
      <c r="G303" s="26"/>
      <c r="H303" s="18"/>
      <c r="I303" s="53"/>
      <c r="J303" s="30"/>
      <c r="K303" s="78"/>
    </row>
    <row r="304" spans="1:11" s="22" customFormat="1" ht="24.95" customHeight="1" x14ac:dyDescent="0.25">
      <c r="A304" s="21"/>
      <c r="F304" s="1"/>
      <c r="G304" s="26"/>
      <c r="H304" s="18"/>
      <c r="I304" s="53"/>
      <c r="J304" s="30"/>
      <c r="K304" s="78"/>
    </row>
    <row r="305" spans="1:11" s="22" customFormat="1" ht="24.95" customHeight="1" x14ac:dyDescent="0.25">
      <c r="A305" s="21"/>
      <c r="F305" s="1"/>
      <c r="G305" s="26"/>
      <c r="H305" s="18"/>
      <c r="I305" s="53"/>
      <c r="J305" s="30"/>
      <c r="K305" s="78"/>
    </row>
    <row r="306" spans="1:11" s="22" customFormat="1" ht="24.95" customHeight="1" x14ac:dyDescent="0.25">
      <c r="A306" s="21"/>
      <c r="F306" s="1"/>
      <c r="G306" s="26"/>
      <c r="H306" s="18"/>
      <c r="I306" s="53"/>
      <c r="J306" s="30"/>
      <c r="K306" s="78"/>
    </row>
    <row r="307" spans="1:11" s="22" customFormat="1" ht="24.95" customHeight="1" x14ac:dyDescent="0.25">
      <c r="A307" s="21"/>
      <c r="F307" s="1"/>
      <c r="G307" s="26"/>
      <c r="H307" s="18"/>
      <c r="I307" s="53"/>
      <c r="J307" s="30"/>
      <c r="K307" s="78"/>
    </row>
    <row r="308" spans="1:11" s="22" customFormat="1" ht="24.95" customHeight="1" x14ac:dyDescent="0.25">
      <c r="A308" s="21"/>
      <c r="F308" s="1"/>
      <c r="G308" s="26"/>
      <c r="H308" s="18"/>
      <c r="I308" s="53"/>
      <c r="J308" s="30"/>
      <c r="K308" s="78"/>
    </row>
    <row r="309" spans="1:11" s="22" customFormat="1" ht="24.95" customHeight="1" x14ac:dyDescent="0.25">
      <c r="A309" s="21"/>
      <c r="F309" s="1"/>
      <c r="G309" s="26"/>
      <c r="H309" s="18"/>
      <c r="I309" s="53"/>
      <c r="J309" s="30"/>
      <c r="K309" s="78"/>
    </row>
    <row r="310" spans="1:11" s="22" customFormat="1" ht="24.95" customHeight="1" x14ac:dyDescent="0.25">
      <c r="A310" s="21"/>
      <c r="F310" s="1"/>
      <c r="G310" s="26"/>
      <c r="H310" s="18"/>
      <c r="I310" s="53"/>
      <c r="J310" s="30"/>
      <c r="K310" s="78"/>
    </row>
    <row r="311" spans="1:11" s="22" customFormat="1" ht="24.95" customHeight="1" x14ac:dyDescent="0.25">
      <c r="A311" s="21"/>
      <c r="F311" s="1"/>
      <c r="G311" s="26"/>
      <c r="H311" s="18"/>
      <c r="I311" s="53"/>
      <c r="J311" s="30"/>
      <c r="K311" s="78"/>
    </row>
    <row r="312" spans="1:11" s="22" customFormat="1" ht="24.95" customHeight="1" x14ac:dyDescent="0.25">
      <c r="A312" s="21"/>
      <c r="F312" s="1"/>
      <c r="G312" s="26"/>
      <c r="H312" s="18"/>
      <c r="I312" s="53"/>
      <c r="J312" s="30"/>
      <c r="K312" s="78"/>
    </row>
    <row r="313" spans="1:11" s="22" customFormat="1" ht="24.95" customHeight="1" x14ac:dyDescent="0.25">
      <c r="A313" s="21"/>
      <c r="F313" s="1"/>
      <c r="G313" s="26"/>
      <c r="H313" s="18"/>
      <c r="I313" s="53"/>
      <c r="J313" s="30"/>
      <c r="K313" s="78"/>
    </row>
    <row r="314" spans="1:11" s="22" customFormat="1" ht="24.95" customHeight="1" x14ac:dyDescent="0.25">
      <c r="A314" s="21"/>
      <c r="F314" s="1"/>
      <c r="G314" s="26"/>
      <c r="H314" s="18"/>
      <c r="I314" s="53"/>
      <c r="J314" s="30"/>
      <c r="K314" s="78"/>
    </row>
    <row r="315" spans="1:11" s="22" customFormat="1" ht="24.95" customHeight="1" x14ac:dyDescent="0.25">
      <c r="A315" s="21"/>
      <c r="F315" s="1"/>
      <c r="G315" s="26"/>
      <c r="H315" s="18"/>
      <c r="I315" s="53"/>
      <c r="J315" s="30"/>
      <c r="K315" s="78"/>
    </row>
    <row r="316" spans="1:11" s="22" customFormat="1" ht="24.95" customHeight="1" x14ac:dyDescent="0.25">
      <c r="A316" s="21"/>
      <c r="F316" s="1"/>
      <c r="G316" s="26"/>
      <c r="H316" s="18"/>
      <c r="I316" s="53"/>
      <c r="J316" s="30"/>
      <c r="K316" s="78"/>
    </row>
    <row r="317" spans="1:11" s="22" customFormat="1" ht="24.95" customHeight="1" x14ac:dyDescent="0.25">
      <c r="A317" s="21"/>
      <c r="F317" s="1"/>
      <c r="G317" s="26"/>
      <c r="H317" s="18"/>
      <c r="I317" s="53"/>
      <c r="J317" s="30"/>
      <c r="K317" s="78"/>
    </row>
    <row r="318" spans="1:11" s="22" customFormat="1" ht="24.95" customHeight="1" x14ac:dyDescent="0.25">
      <c r="A318" s="21"/>
      <c r="F318" s="1"/>
      <c r="G318" s="26"/>
      <c r="H318" s="18"/>
      <c r="I318" s="53"/>
      <c r="J318" s="30"/>
      <c r="K318" s="78"/>
    </row>
    <row r="319" spans="1:11" s="22" customFormat="1" ht="24.95" customHeight="1" x14ac:dyDescent="0.25">
      <c r="A319" s="21"/>
      <c r="F319" s="1"/>
      <c r="G319" s="26"/>
      <c r="H319" s="18"/>
      <c r="I319" s="53"/>
      <c r="J319" s="30"/>
      <c r="K319" s="78"/>
    </row>
    <row r="320" spans="1:11" s="22" customFormat="1" ht="24.95" customHeight="1" x14ac:dyDescent="0.25">
      <c r="A320" s="21"/>
      <c r="F320" s="1"/>
      <c r="G320" s="26"/>
      <c r="H320" s="18"/>
      <c r="I320" s="53"/>
      <c r="J320" s="30"/>
      <c r="K320" s="78"/>
    </row>
    <row r="321" spans="1:11" s="22" customFormat="1" ht="24.95" customHeight="1" x14ac:dyDescent="0.25">
      <c r="A321" s="21"/>
      <c r="F321" s="1"/>
      <c r="G321" s="26"/>
      <c r="H321" s="18"/>
      <c r="I321" s="53"/>
      <c r="J321" s="30"/>
      <c r="K321" s="78"/>
    </row>
    <row r="322" spans="1:11" s="22" customFormat="1" ht="24.95" customHeight="1" x14ac:dyDescent="0.25">
      <c r="A322" s="21"/>
      <c r="F322" s="1"/>
      <c r="G322" s="26"/>
      <c r="H322" s="18"/>
      <c r="I322" s="53"/>
      <c r="J322" s="30"/>
      <c r="K322" s="78"/>
    </row>
    <row r="323" spans="1:11" s="22" customFormat="1" ht="24.95" customHeight="1" x14ac:dyDescent="0.25">
      <c r="A323" s="21"/>
      <c r="F323" s="1"/>
      <c r="G323" s="26"/>
      <c r="H323" s="18"/>
      <c r="I323" s="53"/>
      <c r="J323" s="30"/>
      <c r="K323" s="78"/>
    </row>
    <row r="324" spans="1:11" s="22" customFormat="1" ht="24.95" customHeight="1" x14ac:dyDescent="0.25">
      <c r="A324" s="21"/>
      <c r="F324" s="1"/>
      <c r="G324" s="26"/>
      <c r="H324" s="18"/>
      <c r="I324" s="53"/>
      <c r="J324" s="30"/>
      <c r="K324" s="78"/>
    </row>
    <row r="325" spans="1:11" s="22" customFormat="1" ht="24.95" customHeight="1" x14ac:dyDescent="0.25">
      <c r="A325" s="21"/>
      <c r="F325" s="1"/>
      <c r="G325" s="26"/>
      <c r="H325" s="18"/>
      <c r="I325" s="53"/>
      <c r="J325" s="30"/>
      <c r="K325" s="78"/>
    </row>
    <row r="326" spans="1:11" s="22" customFormat="1" ht="24.95" customHeight="1" x14ac:dyDescent="0.25">
      <c r="A326" s="21"/>
      <c r="F326" s="1"/>
      <c r="G326" s="26"/>
      <c r="H326" s="18"/>
      <c r="I326" s="53"/>
      <c r="J326" s="30"/>
      <c r="K326" s="78"/>
    </row>
    <row r="327" spans="1:11" s="22" customFormat="1" ht="24.95" customHeight="1" x14ac:dyDescent="0.25">
      <c r="A327" s="21"/>
      <c r="F327" s="1"/>
      <c r="G327" s="26"/>
      <c r="H327" s="18"/>
      <c r="I327" s="53"/>
      <c r="J327" s="30"/>
      <c r="K327" s="78"/>
    </row>
    <row r="328" spans="1:11" s="22" customFormat="1" ht="24.95" customHeight="1" x14ac:dyDescent="0.25">
      <c r="A328" s="21"/>
      <c r="F328" s="1"/>
      <c r="G328" s="26"/>
      <c r="H328" s="18"/>
      <c r="I328" s="53"/>
      <c r="J328" s="30"/>
      <c r="K328" s="78"/>
    </row>
    <row r="329" spans="1:11" s="22" customFormat="1" ht="24.95" customHeight="1" x14ac:dyDescent="0.25">
      <c r="A329" s="21"/>
      <c r="F329" s="1"/>
      <c r="G329" s="26"/>
      <c r="H329" s="18"/>
      <c r="I329" s="53"/>
      <c r="J329" s="30"/>
      <c r="K329" s="78"/>
    </row>
    <row r="330" spans="1:11" s="22" customFormat="1" ht="24.95" customHeight="1" x14ac:dyDescent="0.25">
      <c r="A330" s="21"/>
      <c r="F330" s="1"/>
      <c r="G330" s="26"/>
      <c r="H330" s="18"/>
      <c r="I330" s="53"/>
      <c r="J330" s="30"/>
      <c r="K330" s="78"/>
    </row>
    <row r="331" spans="1:11" s="22" customFormat="1" ht="24.95" customHeight="1" x14ac:dyDescent="0.25">
      <c r="A331" s="21"/>
      <c r="F331" s="1"/>
      <c r="G331" s="26"/>
      <c r="H331" s="18"/>
      <c r="I331" s="53"/>
      <c r="J331" s="30"/>
      <c r="K331" s="78"/>
    </row>
    <row r="332" spans="1:11" s="22" customFormat="1" ht="24.95" customHeight="1" x14ac:dyDescent="0.25">
      <c r="A332" s="21"/>
      <c r="F332" s="1"/>
      <c r="G332" s="26"/>
      <c r="H332" s="18"/>
      <c r="I332" s="53"/>
      <c r="J332" s="30"/>
      <c r="K332" s="78"/>
    </row>
    <row r="333" spans="1:11" s="22" customFormat="1" ht="24.95" customHeight="1" x14ac:dyDescent="0.25">
      <c r="A333" s="21"/>
      <c r="F333" s="1"/>
      <c r="G333" s="26"/>
      <c r="H333" s="18"/>
      <c r="I333" s="53"/>
      <c r="J333" s="30"/>
      <c r="K333" s="78"/>
    </row>
    <row r="334" spans="1:11" s="22" customFormat="1" ht="24.95" customHeight="1" x14ac:dyDescent="0.25">
      <c r="A334" s="21"/>
      <c r="F334" s="1"/>
      <c r="G334" s="26"/>
      <c r="H334" s="18"/>
      <c r="I334" s="53"/>
      <c r="J334" s="30"/>
      <c r="K334" s="78"/>
    </row>
    <row r="335" spans="1:11" s="22" customFormat="1" ht="24.95" customHeight="1" x14ac:dyDescent="0.25">
      <c r="A335" s="21"/>
      <c r="F335" s="1"/>
      <c r="G335" s="26"/>
      <c r="H335" s="18"/>
      <c r="I335" s="53"/>
      <c r="J335" s="30"/>
      <c r="K335" s="78"/>
    </row>
    <row r="336" spans="1:11" s="22" customFormat="1" ht="24.95" customHeight="1" x14ac:dyDescent="0.25">
      <c r="A336" s="21"/>
      <c r="F336" s="1"/>
      <c r="G336" s="26"/>
      <c r="H336" s="18"/>
      <c r="I336" s="53"/>
      <c r="J336" s="30"/>
      <c r="K336" s="78"/>
    </row>
    <row r="337" spans="1:11" s="22" customFormat="1" ht="24.95" customHeight="1" x14ac:dyDescent="0.25">
      <c r="A337" s="21"/>
      <c r="F337" s="1"/>
      <c r="G337" s="26"/>
      <c r="H337" s="18"/>
      <c r="I337" s="53"/>
      <c r="J337" s="30"/>
      <c r="K337" s="78"/>
    </row>
    <row r="338" spans="1:11" s="22" customFormat="1" ht="24.95" customHeight="1" x14ac:dyDescent="0.25">
      <c r="A338" s="21"/>
      <c r="F338" s="1"/>
      <c r="G338" s="26"/>
      <c r="H338" s="18"/>
      <c r="I338" s="53"/>
      <c r="J338" s="30"/>
      <c r="K338" s="78"/>
    </row>
    <row r="339" spans="1:11" s="22" customFormat="1" ht="24.95" customHeight="1" x14ac:dyDescent="0.25">
      <c r="A339" s="21"/>
      <c r="F339" s="1"/>
      <c r="G339" s="26"/>
      <c r="H339" s="18"/>
      <c r="I339" s="53"/>
      <c r="J339" s="30"/>
      <c r="K339" s="78"/>
    </row>
    <row r="340" spans="1:11" s="22" customFormat="1" ht="24.95" customHeight="1" x14ac:dyDescent="0.25">
      <c r="A340" s="21"/>
      <c r="F340" s="1"/>
      <c r="G340" s="26"/>
      <c r="H340" s="18"/>
      <c r="I340" s="53"/>
      <c r="J340" s="30"/>
      <c r="K340" s="78"/>
    </row>
    <row r="341" spans="1:11" s="22" customFormat="1" ht="24.95" customHeight="1" x14ac:dyDescent="0.25">
      <c r="A341" s="21"/>
      <c r="F341" s="1"/>
      <c r="G341" s="26"/>
      <c r="H341" s="18"/>
      <c r="I341" s="53"/>
      <c r="J341" s="30"/>
      <c r="K341" s="78"/>
    </row>
    <row r="342" spans="1:11" s="22" customFormat="1" ht="24.95" customHeight="1" x14ac:dyDescent="0.25">
      <c r="A342" s="21"/>
      <c r="F342" s="1"/>
      <c r="G342" s="26"/>
      <c r="H342" s="18"/>
      <c r="I342" s="53"/>
      <c r="J342" s="30"/>
      <c r="K342" s="78"/>
    </row>
    <row r="343" spans="1:11" s="22" customFormat="1" ht="24.95" customHeight="1" x14ac:dyDescent="0.25">
      <c r="A343" s="21"/>
      <c r="F343" s="1"/>
      <c r="G343" s="26"/>
      <c r="H343" s="18"/>
      <c r="I343" s="53"/>
      <c r="J343" s="30"/>
      <c r="K343" s="78"/>
    </row>
    <row r="344" spans="1:11" s="22" customFormat="1" ht="24.95" customHeight="1" x14ac:dyDescent="0.25">
      <c r="A344" s="21"/>
      <c r="F344" s="1"/>
      <c r="G344" s="26"/>
      <c r="H344" s="18"/>
      <c r="I344" s="53"/>
      <c r="J344" s="30"/>
      <c r="K344" s="78"/>
    </row>
    <row r="345" spans="1:11" s="22" customFormat="1" ht="24.95" customHeight="1" x14ac:dyDescent="0.25">
      <c r="A345" s="21"/>
      <c r="F345" s="1"/>
      <c r="G345" s="26"/>
      <c r="H345" s="18"/>
      <c r="I345" s="53"/>
      <c r="J345" s="30"/>
      <c r="K345" s="78"/>
    </row>
    <row r="346" spans="1:11" s="22" customFormat="1" ht="24.95" customHeight="1" x14ac:dyDescent="0.25">
      <c r="A346" s="21"/>
      <c r="F346" s="1"/>
      <c r="G346" s="26"/>
      <c r="H346" s="18"/>
      <c r="I346" s="53"/>
      <c r="J346" s="30"/>
      <c r="K346" s="78"/>
    </row>
    <row r="347" spans="1:11" s="22" customFormat="1" ht="24.95" customHeight="1" x14ac:dyDescent="0.25">
      <c r="A347" s="21"/>
      <c r="F347" s="1"/>
      <c r="G347" s="26"/>
      <c r="H347" s="18"/>
      <c r="I347" s="53"/>
      <c r="J347" s="30"/>
      <c r="K347" s="78"/>
    </row>
    <row r="348" spans="1:11" s="22" customFormat="1" ht="24.95" customHeight="1" x14ac:dyDescent="0.25">
      <c r="A348" s="21"/>
      <c r="F348" s="1"/>
      <c r="G348" s="26"/>
      <c r="H348" s="18"/>
      <c r="I348" s="53"/>
      <c r="J348" s="30"/>
      <c r="K348" s="78"/>
    </row>
    <row r="349" spans="1:11" s="22" customFormat="1" ht="24.95" customHeight="1" x14ac:dyDescent="0.25">
      <c r="A349" s="21"/>
      <c r="F349" s="1"/>
      <c r="G349" s="26"/>
      <c r="H349" s="18"/>
      <c r="I349" s="53"/>
      <c r="J349" s="30"/>
      <c r="K349" s="78"/>
    </row>
    <row r="350" spans="1:11" s="22" customFormat="1" ht="24.95" customHeight="1" x14ac:dyDescent="0.25">
      <c r="A350" s="21"/>
      <c r="F350" s="1"/>
      <c r="G350" s="26"/>
      <c r="H350" s="18"/>
      <c r="I350" s="53"/>
      <c r="J350" s="30"/>
      <c r="K350" s="78"/>
    </row>
    <row r="351" spans="1:11" s="22" customFormat="1" ht="24.95" customHeight="1" x14ac:dyDescent="0.25">
      <c r="A351" s="21"/>
      <c r="F351" s="1"/>
      <c r="G351" s="26"/>
      <c r="H351" s="18"/>
      <c r="I351" s="53"/>
      <c r="J351" s="30"/>
      <c r="K351" s="78"/>
    </row>
    <row r="352" spans="1:11" s="22" customFormat="1" ht="24.95" customHeight="1" x14ac:dyDescent="0.25">
      <c r="A352" s="21"/>
      <c r="F352" s="1"/>
      <c r="G352" s="26"/>
      <c r="H352" s="18"/>
      <c r="I352" s="53"/>
      <c r="J352" s="30"/>
      <c r="K352" s="78"/>
    </row>
    <row r="353" spans="1:11" s="22" customFormat="1" ht="24.95" customHeight="1" x14ac:dyDescent="0.25">
      <c r="A353" s="21"/>
      <c r="F353" s="1"/>
      <c r="G353" s="26"/>
      <c r="H353" s="18"/>
      <c r="I353" s="53"/>
      <c r="J353" s="30"/>
      <c r="K353" s="78"/>
    </row>
    <row r="354" spans="1:11" s="22" customFormat="1" ht="24.95" customHeight="1" x14ac:dyDescent="0.25">
      <c r="A354" s="21"/>
      <c r="F354" s="1"/>
      <c r="G354" s="26"/>
      <c r="H354" s="18"/>
      <c r="I354" s="53"/>
      <c r="J354" s="30"/>
      <c r="K354" s="78"/>
    </row>
    <row r="355" spans="1:11" s="22" customFormat="1" ht="24.95" customHeight="1" x14ac:dyDescent="0.25">
      <c r="A355" s="21"/>
      <c r="F355" s="1"/>
      <c r="G355" s="26"/>
      <c r="H355" s="18"/>
      <c r="I355" s="53"/>
      <c r="J355" s="30"/>
      <c r="K355" s="78"/>
    </row>
    <row r="356" spans="1:11" s="22" customFormat="1" ht="24.95" customHeight="1" x14ac:dyDescent="0.25">
      <c r="A356" s="21"/>
      <c r="F356" s="1"/>
      <c r="G356" s="26"/>
      <c r="H356" s="18"/>
      <c r="I356" s="53"/>
      <c r="J356" s="30"/>
      <c r="K356" s="78"/>
    </row>
    <row r="357" spans="1:11" s="22" customFormat="1" ht="24.95" customHeight="1" x14ac:dyDescent="0.25">
      <c r="A357" s="21"/>
      <c r="F357" s="1"/>
      <c r="G357" s="26"/>
      <c r="H357" s="18"/>
      <c r="I357" s="53"/>
      <c r="J357" s="30"/>
      <c r="K357" s="78"/>
    </row>
    <row r="358" spans="1:11" s="22" customFormat="1" ht="24.95" customHeight="1" x14ac:dyDescent="0.25">
      <c r="A358" s="21"/>
      <c r="F358" s="1"/>
      <c r="G358" s="26"/>
      <c r="H358" s="18"/>
      <c r="I358" s="53"/>
      <c r="J358" s="30"/>
      <c r="K358" s="78"/>
    </row>
    <row r="359" spans="1:11" s="22" customFormat="1" ht="24.95" customHeight="1" x14ac:dyDescent="0.25">
      <c r="A359" s="21"/>
      <c r="F359" s="1"/>
      <c r="G359" s="26"/>
      <c r="H359" s="18"/>
      <c r="I359" s="53"/>
      <c r="J359" s="30"/>
      <c r="K359" s="78"/>
    </row>
    <row r="360" spans="1:11" s="22" customFormat="1" ht="24.95" customHeight="1" x14ac:dyDescent="0.25">
      <c r="A360" s="21"/>
      <c r="F360" s="1"/>
      <c r="G360" s="26"/>
      <c r="H360" s="18"/>
      <c r="I360" s="53"/>
      <c r="J360" s="30"/>
      <c r="K360" s="78"/>
    </row>
    <row r="361" spans="1:11" s="22" customFormat="1" ht="24.95" customHeight="1" x14ac:dyDescent="0.25">
      <c r="A361" s="21"/>
      <c r="F361" s="1"/>
      <c r="G361" s="26"/>
      <c r="H361" s="18"/>
      <c r="I361" s="53"/>
      <c r="J361" s="30"/>
      <c r="K361" s="78"/>
    </row>
    <row r="362" spans="1:11" s="22" customFormat="1" ht="24.95" customHeight="1" x14ac:dyDescent="0.25">
      <c r="A362" s="21"/>
      <c r="F362" s="1"/>
      <c r="G362" s="26"/>
      <c r="H362" s="18"/>
      <c r="I362" s="53"/>
      <c r="J362" s="30"/>
      <c r="K362" s="78"/>
    </row>
    <row r="363" spans="1:11" s="22" customFormat="1" ht="24.95" customHeight="1" x14ac:dyDescent="0.25">
      <c r="A363" s="21"/>
      <c r="F363" s="1"/>
      <c r="G363" s="26"/>
      <c r="H363" s="18"/>
      <c r="I363" s="53"/>
      <c r="J363" s="30"/>
      <c r="K363" s="78"/>
    </row>
    <row r="364" spans="1:11" s="22" customFormat="1" ht="24.95" customHeight="1" x14ac:dyDescent="0.25">
      <c r="A364" s="21"/>
      <c r="F364" s="1"/>
      <c r="G364" s="26"/>
      <c r="H364" s="18"/>
      <c r="I364" s="53"/>
      <c r="J364" s="30"/>
      <c r="K364" s="78"/>
    </row>
    <row r="365" spans="1:11" s="22" customFormat="1" ht="24.95" customHeight="1" x14ac:dyDescent="0.25">
      <c r="A365" s="21"/>
      <c r="F365" s="1"/>
      <c r="G365" s="26"/>
      <c r="H365" s="18"/>
      <c r="I365" s="53"/>
      <c r="J365" s="30"/>
      <c r="K365" s="78"/>
    </row>
    <row r="366" spans="1:11" s="22" customFormat="1" ht="24.95" customHeight="1" x14ac:dyDescent="0.25">
      <c r="A366" s="21"/>
      <c r="F366" s="1"/>
      <c r="G366" s="26"/>
      <c r="H366" s="18"/>
      <c r="I366" s="53"/>
      <c r="J366" s="30"/>
      <c r="K366" s="78"/>
    </row>
    <row r="367" spans="1:11" s="22" customFormat="1" ht="24.95" customHeight="1" x14ac:dyDescent="0.25">
      <c r="A367" s="21"/>
      <c r="F367" s="1"/>
      <c r="G367" s="26"/>
      <c r="H367" s="18"/>
      <c r="I367" s="53"/>
      <c r="J367" s="30"/>
      <c r="K367" s="78"/>
    </row>
    <row r="368" spans="1:11" s="22" customFormat="1" ht="24.95" customHeight="1" x14ac:dyDescent="0.25">
      <c r="A368" s="21"/>
      <c r="F368" s="1"/>
      <c r="G368" s="26"/>
      <c r="H368" s="18"/>
      <c r="I368" s="53"/>
      <c r="J368" s="30"/>
      <c r="K368" s="78"/>
    </row>
    <row r="369" spans="1:11" s="22" customFormat="1" ht="24.95" customHeight="1" x14ac:dyDescent="0.25">
      <c r="A369" s="21"/>
      <c r="F369" s="1"/>
      <c r="G369" s="26"/>
      <c r="H369" s="18"/>
      <c r="I369" s="53"/>
      <c r="J369" s="30"/>
      <c r="K369" s="78"/>
    </row>
    <row r="370" spans="1:11" s="22" customFormat="1" ht="24.95" customHeight="1" x14ac:dyDescent="0.25">
      <c r="A370" s="21"/>
      <c r="F370" s="1"/>
      <c r="G370" s="26"/>
      <c r="H370" s="18"/>
      <c r="I370" s="53"/>
      <c r="J370" s="30"/>
      <c r="K370" s="78"/>
    </row>
    <row r="371" spans="1:11" s="22" customFormat="1" ht="24.95" customHeight="1" x14ac:dyDescent="0.25">
      <c r="A371" s="21"/>
      <c r="F371" s="1"/>
      <c r="G371" s="26"/>
      <c r="H371" s="18"/>
      <c r="I371" s="53"/>
      <c r="J371" s="30"/>
      <c r="K371" s="78"/>
    </row>
    <row r="372" spans="1:11" s="22" customFormat="1" ht="24.95" customHeight="1" x14ac:dyDescent="0.25">
      <c r="A372" s="21"/>
      <c r="F372" s="1"/>
      <c r="G372" s="26"/>
      <c r="H372" s="18"/>
      <c r="I372" s="53"/>
      <c r="J372" s="30"/>
      <c r="K372" s="78"/>
    </row>
    <row r="373" spans="1:11" s="22" customFormat="1" ht="24.95" customHeight="1" x14ac:dyDescent="0.25">
      <c r="A373" s="21"/>
      <c r="F373" s="1"/>
      <c r="G373" s="26"/>
      <c r="H373" s="18"/>
      <c r="I373" s="53"/>
      <c r="J373" s="30"/>
      <c r="K373" s="78"/>
    </row>
    <row r="374" spans="1:11" s="22" customFormat="1" ht="24.95" customHeight="1" x14ac:dyDescent="0.25">
      <c r="A374" s="21"/>
      <c r="F374" s="1"/>
      <c r="G374" s="26"/>
      <c r="H374" s="18"/>
      <c r="I374" s="53"/>
      <c r="J374" s="30"/>
      <c r="K374" s="78"/>
    </row>
    <row r="375" spans="1:11" s="22" customFormat="1" ht="24.95" customHeight="1" x14ac:dyDescent="0.25">
      <c r="A375" s="21"/>
      <c r="F375" s="1"/>
      <c r="G375" s="26"/>
      <c r="H375" s="18"/>
      <c r="I375" s="53"/>
      <c r="J375" s="30"/>
      <c r="K375" s="78"/>
    </row>
    <row r="376" spans="1:11" s="22" customFormat="1" ht="24.95" customHeight="1" x14ac:dyDescent="0.25">
      <c r="A376" s="21"/>
      <c r="F376" s="1"/>
      <c r="G376" s="26"/>
      <c r="H376" s="18"/>
      <c r="I376" s="53"/>
      <c r="J376" s="30"/>
      <c r="K376" s="78"/>
    </row>
    <row r="377" spans="1:11" s="22" customFormat="1" ht="24.95" customHeight="1" x14ac:dyDescent="0.25">
      <c r="A377" s="21"/>
      <c r="F377" s="1"/>
      <c r="G377" s="26"/>
      <c r="H377" s="18"/>
      <c r="I377" s="53"/>
      <c r="J377" s="30"/>
      <c r="K377" s="78"/>
    </row>
    <row r="378" spans="1:11" s="22" customFormat="1" ht="24.95" customHeight="1" x14ac:dyDescent="0.25">
      <c r="A378" s="21"/>
      <c r="F378" s="1"/>
      <c r="G378" s="26"/>
      <c r="H378" s="18"/>
      <c r="I378" s="53"/>
      <c r="J378" s="30"/>
      <c r="K378" s="78"/>
    </row>
    <row r="379" spans="1:11" s="22" customFormat="1" ht="24.95" customHeight="1" x14ac:dyDescent="0.25">
      <c r="A379" s="21"/>
      <c r="F379" s="1"/>
      <c r="G379" s="26"/>
      <c r="H379" s="18"/>
      <c r="I379" s="53"/>
      <c r="J379" s="30"/>
      <c r="K379" s="78"/>
    </row>
    <row r="380" spans="1:11" s="22" customFormat="1" ht="24.95" customHeight="1" x14ac:dyDescent="0.25">
      <c r="A380" s="21"/>
      <c r="F380" s="1"/>
      <c r="G380" s="26"/>
      <c r="H380" s="18"/>
      <c r="I380" s="53"/>
      <c r="J380" s="30"/>
      <c r="K380" s="78"/>
    </row>
    <row r="381" spans="1:11" s="22" customFormat="1" ht="24.95" customHeight="1" x14ac:dyDescent="0.25">
      <c r="A381" s="21"/>
      <c r="F381" s="1"/>
      <c r="G381" s="26"/>
      <c r="H381" s="18"/>
      <c r="I381" s="53"/>
      <c r="J381" s="30"/>
      <c r="K381" s="78"/>
    </row>
    <row r="382" spans="1:11" s="22" customFormat="1" ht="24.95" customHeight="1" x14ac:dyDescent="0.25">
      <c r="A382" s="21"/>
      <c r="F382" s="1"/>
      <c r="G382" s="26"/>
      <c r="H382" s="18"/>
      <c r="I382" s="53"/>
      <c r="J382" s="30"/>
      <c r="K382" s="78"/>
    </row>
    <row r="383" spans="1:11" s="22" customFormat="1" ht="24.95" customHeight="1" x14ac:dyDescent="0.25">
      <c r="A383" s="21"/>
      <c r="F383" s="1"/>
      <c r="G383" s="26"/>
      <c r="H383" s="18"/>
      <c r="I383" s="53"/>
      <c r="J383" s="30"/>
      <c r="K383" s="78"/>
    </row>
    <row r="384" spans="1:11" s="22" customFormat="1" ht="24.95" customHeight="1" x14ac:dyDescent="0.25">
      <c r="A384" s="21"/>
      <c r="F384" s="1"/>
      <c r="G384" s="26"/>
      <c r="H384" s="18"/>
      <c r="I384" s="53"/>
      <c r="J384" s="30"/>
      <c r="K384" s="78"/>
    </row>
    <row r="385" spans="1:11" s="22" customFormat="1" ht="24.95" customHeight="1" x14ac:dyDescent="0.25">
      <c r="A385" s="21"/>
      <c r="F385" s="1"/>
      <c r="G385" s="26"/>
      <c r="H385" s="18"/>
      <c r="I385" s="53"/>
      <c r="J385" s="30"/>
      <c r="K385" s="78"/>
    </row>
    <row r="386" spans="1:11" s="22" customFormat="1" ht="24.95" customHeight="1" x14ac:dyDescent="0.25">
      <c r="A386" s="21"/>
      <c r="F386" s="1"/>
      <c r="G386" s="26"/>
      <c r="H386" s="18"/>
      <c r="I386" s="53"/>
      <c r="J386" s="30"/>
      <c r="K386" s="78"/>
    </row>
    <row r="387" spans="1:11" s="22" customFormat="1" ht="24.95" customHeight="1" x14ac:dyDescent="0.25">
      <c r="A387" s="21"/>
      <c r="F387" s="1"/>
      <c r="G387" s="26"/>
      <c r="H387" s="18"/>
      <c r="I387" s="53"/>
      <c r="J387" s="30"/>
      <c r="K387" s="78"/>
    </row>
    <row r="388" spans="1:11" s="22" customFormat="1" ht="24.95" customHeight="1" x14ac:dyDescent="0.25">
      <c r="A388" s="21"/>
      <c r="F388" s="1"/>
      <c r="G388" s="26"/>
      <c r="H388" s="18"/>
      <c r="I388" s="53"/>
      <c r="J388" s="30"/>
      <c r="K388" s="78"/>
    </row>
    <row r="389" spans="1:11" s="22" customFormat="1" ht="24.95" customHeight="1" x14ac:dyDescent="0.25">
      <c r="A389" s="21"/>
      <c r="F389" s="1"/>
      <c r="G389" s="26"/>
      <c r="H389" s="18"/>
      <c r="I389" s="53"/>
      <c r="J389" s="30"/>
      <c r="K389" s="78"/>
    </row>
    <row r="390" spans="1:11" s="22" customFormat="1" ht="24.95" customHeight="1" x14ac:dyDescent="0.25">
      <c r="A390" s="21"/>
      <c r="F390" s="1"/>
      <c r="G390" s="26"/>
      <c r="H390" s="18"/>
      <c r="I390" s="53"/>
      <c r="J390" s="30"/>
      <c r="K390" s="78"/>
    </row>
    <row r="391" spans="1:11" s="22" customFormat="1" ht="24.95" customHeight="1" x14ac:dyDescent="0.25">
      <c r="A391" s="21"/>
      <c r="F391" s="1"/>
      <c r="G391" s="26"/>
      <c r="H391" s="18"/>
      <c r="I391" s="53"/>
      <c r="J391" s="30"/>
      <c r="K391" s="78"/>
    </row>
    <row r="392" spans="1:11" s="22" customFormat="1" ht="24.95" customHeight="1" x14ac:dyDescent="0.25">
      <c r="A392" s="21"/>
      <c r="F392" s="1"/>
      <c r="G392" s="26"/>
      <c r="H392" s="18"/>
      <c r="I392" s="53"/>
      <c r="J392" s="30"/>
      <c r="K392" s="78"/>
    </row>
    <row r="393" spans="1:11" s="22" customFormat="1" ht="24.95" customHeight="1" x14ac:dyDescent="0.25">
      <c r="A393" s="21"/>
      <c r="F393" s="1"/>
      <c r="G393" s="26"/>
      <c r="H393" s="18"/>
      <c r="I393" s="53"/>
      <c r="J393" s="30"/>
      <c r="K393" s="78"/>
    </row>
    <row r="394" spans="1:11" s="22" customFormat="1" ht="24.95" customHeight="1" x14ac:dyDescent="0.25">
      <c r="A394" s="21"/>
      <c r="F394" s="1"/>
      <c r="G394" s="26"/>
      <c r="H394" s="18"/>
      <c r="I394" s="53"/>
      <c r="J394" s="30"/>
      <c r="K394" s="78"/>
    </row>
    <row r="395" spans="1:11" s="22" customFormat="1" ht="24.95" customHeight="1" x14ac:dyDescent="0.25">
      <c r="A395" s="21"/>
      <c r="F395" s="1"/>
      <c r="G395" s="26"/>
      <c r="H395" s="18"/>
      <c r="I395" s="53"/>
      <c r="J395" s="30"/>
      <c r="K395" s="78"/>
    </row>
    <row r="396" spans="1:11" s="22" customFormat="1" ht="24.95" customHeight="1" x14ac:dyDescent="0.25">
      <c r="A396" s="21"/>
      <c r="F396" s="1"/>
      <c r="G396" s="26"/>
      <c r="H396" s="18"/>
      <c r="I396" s="53"/>
      <c r="J396" s="30"/>
      <c r="K396" s="78"/>
    </row>
    <row r="397" spans="1:11" s="22" customFormat="1" ht="24.95" customHeight="1" x14ac:dyDescent="0.25">
      <c r="A397" s="21"/>
      <c r="F397" s="1"/>
      <c r="G397" s="26"/>
      <c r="H397" s="18"/>
      <c r="I397" s="53"/>
      <c r="J397" s="30"/>
      <c r="K397" s="78"/>
    </row>
    <row r="398" spans="1:11" s="22" customFormat="1" ht="24.95" customHeight="1" x14ac:dyDescent="0.25">
      <c r="A398" s="21"/>
      <c r="F398" s="1"/>
      <c r="G398" s="26"/>
      <c r="H398" s="18"/>
      <c r="I398" s="53"/>
      <c r="J398" s="30"/>
      <c r="K398" s="78"/>
    </row>
    <row r="399" spans="1:11" s="22" customFormat="1" ht="24.95" customHeight="1" x14ac:dyDescent="0.25">
      <c r="A399" s="21"/>
      <c r="F399" s="1"/>
      <c r="G399" s="26"/>
      <c r="H399" s="18"/>
      <c r="I399" s="53"/>
      <c r="J399" s="30"/>
      <c r="K399" s="78"/>
    </row>
    <row r="400" spans="1:11" s="22" customFormat="1" ht="24.95" customHeight="1" x14ac:dyDescent="0.25">
      <c r="A400" s="21"/>
      <c r="F400" s="1"/>
      <c r="G400" s="26"/>
      <c r="H400" s="18"/>
      <c r="I400" s="53"/>
      <c r="J400" s="30"/>
      <c r="K400" s="78"/>
    </row>
    <row r="401" spans="1:11" s="22" customFormat="1" ht="24.95" customHeight="1" x14ac:dyDescent="0.25">
      <c r="A401" s="21"/>
      <c r="F401" s="1"/>
      <c r="G401" s="26"/>
      <c r="H401" s="18"/>
      <c r="I401" s="53"/>
      <c r="J401" s="30"/>
      <c r="K401" s="78"/>
    </row>
    <row r="402" spans="1:11" s="22" customFormat="1" ht="24.95" customHeight="1" x14ac:dyDescent="0.25">
      <c r="A402" s="21"/>
      <c r="F402" s="1"/>
      <c r="G402" s="26"/>
      <c r="H402" s="18"/>
      <c r="I402" s="53"/>
      <c r="J402" s="30"/>
      <c r="K402" s="78"/>
    </row>
    <row r="403" spans="1:11" s="22" customFormat="1" ht="24.95" customHeight="1" x14ac:dyDescent="0.25">
      <c r="A403" s="21"/>
      <c r="F403" s="1"/>
      <c r="G403" s="26"/>
      <c r="H403" s="18"/>
      <c r="I403" s="53"/>
      <c r="J403" s="30"/>
      <c r="K403" s="78"/>
    </row>
    <row r="404" spans="1:11" s="22" customFormat="1" ht="24.95" customHeight="1" x14ac:dyDescent="0.25">
      <c r="A404" s="21"/>
      <c r="F404" s="1"/>
      <c r="G404" s="26"/>
      <c r="H404" s="18"/>
      <c r="I404" s="53"/>
      <c r="J404" s="30"/>
      <c r="K404" s="78"/>
    </row>
    <row r="405" spans="1:11" s="22" customFormat="1" ht="24.95" customHeight="1" x14ac:dyDescent="0.25">
      <c r="A405" s="21"/>
      <c r="F405" s="1"/>
      <c r="G405" s="26"/>
      <c r="H405" s="18"/>
      <c r="I405" s="53"/>
      <c r="J405" s="30"/>
      <c r="K405" s="78"/>
    </row>
    <row r="406" spans="1:11" s="22" customFormat="1" ht="24.95" customHeight="1" x14ac:dyDescent="0.25">
      <c r="A406" s="21"/>
      <c r="F406" s="1"/>
      <c r="G406" s="26"/>
      <c r="H406" s="18"/>
      <c r="I406" s="53"/>
      <c r="J406" s="30"/>
      <c r="K406" s="78"/>
    </row>
    <row r="407" spans="1:11" s="22" customFormat="1" ht="24.95" customHeight="1" x14ac:dyDescent="0.25">
      <c r="A407" s="21"/>
      <c r="F407" s="1"/>
      <c r="G407" s="26"/>
      <c r="H407" s="18"/>
      <c r="I407" s="53"/>
      <c r="J407" s="30"/>
      <c r="K407" s="78"/>
    </row>
    <row r="408" spans="1:11" s="22" customFormat="1" ht="24.95" customHeight="1" x14ac:dyDescent="0.25">
      <c r="A408" s="21"/>
      <c r="F408" s="1"/>
      <c r="G408" s="26"/>
      <c r="H408" s="18"/>
      <c r="I408" s="53"/>
      <c r="J408" s="30"/>
      <c r="K408" s="78"/>
    </row>
    <row r="409" spans="1:11" s="22" customFormat="1" ht="24.95" customHeight="1" x14ac:dyDescent="0.25">
      <c r="A409" s="21"/>
      <c r="F409" s="1"/>
      <c r="G409" s="26"/>
      <c r="H409" s="18"/>
      <c r="I409" s="53"/>
      <c r="J409" s="30"/>
      <c r="K409" s="78"/>
    </row>
    <row r="410" spans="1:11" s="22" customFormat="1" ht="24.95" customHeight="1" x14ac:dyDescent="0.25">
      <c r="A410" s="21"/>
      <c r="F410" s="1"/>
      <c r="G410" s="26"/>
      <c r="H410" s="18"/>
      <c r="I410" s="53"/>
      <c r="J410" s="30"/>
      <c r="K410" s="78"/>
    </row>
    <row r="411" spans="1:11" s="22" customFormat="1" ht="24.95" customHeight="1" x14ac:dyDescent="0.25">
      <c r="A411" s="21"/>
      <c r="F411" s="1"/>
      <c r="G411" s="26"/>
      <c r="H411" s="18"/>
      <c r="I411" s="53"/>
      <c r="J411" s="30"/>
      <c r="K411" s="78"/>
    </row>
    <row r="412" spans="1:11" s="22" customFormat="1" ht="24.95" customHeight="1" x14ac:dyDescent="0.25">
      <c r="A412" s="21"/>
      <c r="F412" s="1"/>
      <c r="G412" s="26"/>
      <c r="H412" s="18"/>
      <c r="I412" s="53"/>
      <c r="J412" s="30"/>
      <c r="K412" s="78"/>
    </row>
    <row r="413" spans="1:11" s="22" customFormat="1" ht="24.95" customHeight="1" x14ac:dyDescent="0.25">
      <c r="A413" s="21"/>
      <c r="F413" s="1"/>
      <c r="G413" s="26"/>
      <c r="H413" s="18"/>
      <c r="I413" s="53"/>
      <c r="J413" s="30"/>
      <c r="K413" s="78"/>
    </row>
    <row r="414" spans="1:11" s="22" customFormat="1" ht="24.95" customHeight="1" x14ac:dyDescent="0.25">
      <c r="A414" s="21"/>
      <c r="F414" s="1"/>
      <c r="G414" s="26"/>
      <c r="H414" s="18"/>
      <c r="I414" s="53"/>
      <c r="J414" s="30"/>
      <c r="K414" s="78"/>
    </row>
    <row r="415" spans="1:11" s="22" customFormat="1" ht="24.95" customHeight="1" x14ac:dyDescent="0.25">
      <c r="A415" s="21"/>
      <c r="F415" s="1"/>
      <c r="G415" s="26"/>
      <c r="H415" s="18"/>
      <c r="I415" s="53"/>
      <c r="J415" s="30"/>
      <c r="K415" s="78"/>
    </row>
    <row r="416" spans="1:11" s="22" customFormat="1" ht="24.95" customHeight="1" x14ac:dyDescent="0.25">
      <c r="A416" s="21"/>
      <c r="F416" s="1"/>
      <c r="G416" s="26"/>
      <c r="H416" s="18"/>
      <c r="I416" s="53"/>
      <c r="J416" s="30"/>
      <c r="K416" s="78"/>
    </row>
    <row r="417" spans="1:11" s="22" customFormat="1" ht="24.95" customHeight="1" x14ac:dyDescent="0.25">
      <c r="A417" s="21"/>
      <c r="F417" s="1"/>
      <c r="G417" s="26"/>
      <c r="H417" s="18"/>
      <c r="I417" s="53"/>
      <c r="J417" s="30"/>
      <c r="K417" s="78"/>
    </row>
    <row r="418" spans="1:11" s="22" customFormat="1" ht="24.95" customHeight="1" x14ac:dyDescent="0.25">
      <c r="A418" s="21"/>
      <c r="F418" s="1"/>
      <c r="G418" s="26"/>
      <c r="H418" s="18"/>
      <c r="I418" s="53"/>
      <c r="J418" s="30"/>
      <c r="K418" s="78"/>
    </row>
    <row r="419" spans="1:11" s="22" customFormat="1" ht="24.95" customHeight="1" x14ac:dyDescent="0.25">
      <c r="A419" s="21"/>
      <c r="F419" s="1"/>
      <c r="G419" s="26"/>
      <c r="H419" s="18"/>
      <c r="I419" s="53"/>
      <c r="J419" s="30"/>
      <c r="K419" s="78"/>
    </row>
    <row r="420" spans="1:11" s="22" customFormat="1" ht="24.95" customHeight="1" x14ac:dyDescent="0.25">
      <c r="A420" s="21"/>
      <c r="F420" s="1"/>
      <c r="G420" s="26"/>
      <c r="H420" s="18"/>
      <c r="I420" s="53"/>
      <c r="J420" s="30"/>
      <c r="K420" s="78"/>
    </row>
    <row r="421" spans="1:11" s="22" customFormat="1" ht="24.95" customHeight="1" x14ac:dyDescent="0.25">
      <c r="A421" s="21"/>
      <c r="F421" s="1"/>
      <c r="G421" s="26"/>
      <c r="H421" s="18"/>
      <c r="I421" s="53"/>
      <c r="J421" s="30"/>
      <c r="K421" s="78"/>
    </row>
    <row r="422" spans="1:11" s="22" customFormat="1" ht="24.95" customHeight="1" x14ac:dyDescent="0.25">
      <c r="A422" s="21"/>
      <c r="F422" s="1"/>
      <c r="G422" s="26"/>
      <c r="H422" s="18"/>
      <c r="I422" s="53"/>
      <c r="J422" s="30"/>
      <c r="K422" s="78"/>
    </row>
    <row r="423" spans="1:11" s="22" customFormat="1" ht="24.95" customHeight="1" x14ac:dyDescent="0.25">
      <c r="A423" s="21"/>
      <c r="F423" s="1"/>
      <c r="G423" s="26"/>
      <c r="H423" s="18"/>
      <c r="I423" s="53"/>
      <c r="J423" s="30"/>
      <c r="K423" s="78"/>
    </row>
    <row r="424" spans="1:11" s="22" customFormat="1" ht="24.95" customHeight="1" x14ac:dyDescent="0.25">
      <c r="A424" s="21"/>
      <c r="F424" s="1"/>
      <c r="G424" s="26"/>
      <c r="H424" s="18"/>
      <c r="I424" s="53"/>
      <c r="J424" s="30"/>
      <c r="K424" s="78"/>
    </row>
    <row r="425" spans="1:11" s="22" customFormat="1" ht="24.95" customHeight="1" x14ac:dyDescent="0.25">
      <c r="A425" s="21"/>
      <c r="F425" s="1"/>
      <c r="G425" s="26"/>
      <c r="H425" s="18"/>
      <c r="I425" s="53"/>
      <c r="J425" s="30"/>
      <c r="K425" s="78"/>
    </row>
    <row r="426" spans="1:11" s="22" customFormat="1" ht="24.95" customHeight="1" x14ac:dyDescent="0.25">
      <c r="A426" s="21"/>
      <c r="F426" s="1"/>
      <c r="G426" s="26"/>
      <c r="H426" s="18"/>
      <c r="I426" s="53"/>
      <c r="J426" s="30"/>
      <c r="K426" s="78"/>
    </row>
    <row r="427" spans="1:11" s="22" customFormat="1" ht="24.95" customHeight="1" x14ac:dyDescent="0.25">
      <c r="A427" s="21"/>
      <c r="F427" s="1"/>
      <c r="G427" s="26"/>
      <c r="H427" s="18"/>
      <c r="I427" s="53"/>
      <c r="J427" s="30"/>
      <c r="K427" s="78"/>
    </row>
    <row r="428" spans="1:11" s="22" customFormat="1" ht="24.95" customHeight="1" x14ac:dyDescent="0.25">
      <c r="A428" s="21"/>
      <c r="F428" s="1"/>
      <c r="G428" s="26"/>
      <c r="H428" s="18"/>
      <c r="I428" s="53"/>
      <c r="J428" s="30"/>
      <c r="K428" s="78"/>
    </row>
    <row r="429" spans="1:11" s="22" customFormat="1" ht="24.95" customHeight="1" x14ac:dyDescent="0.25">
      <c r="A429" s="21"/>
      <c r="F429" s="1"/>
      <c r="G429" s="26"/>
      <c r="H429" s="18"/>
      <c r="I429" s="53"/>
      <c r="J429" s="30"/>
      <c r="K429" s="78"/>
    </row>
    <row r="430" spans="1:11" s="22" customFormat="1" ht="24.95" customHeight="1" x14ac:dyDescent="0.25">
      <c r="A430" s="21"/>
      <c r="F430" s="1"/>
      <c r="G430" s="26"/>
      <c r="H430" s="18"/>
      <c r="I430" s="53"/>
      <c r="J430" s="30"/>
      <c r="K430" s="78"/>
    </row>
    <row r="431" spans="1:11" s="22" customFormat="1" ht="24.95" customHeight="1" x14ac:dyDescent="0.25">
      <c r="A431" s="21"/>
      <c r="F431" s="1"/>
      <c r="G431" s="26"/>
      <c r="H431" s="18"/>
      <c r="I431" s="53"/>
      <c r="J431" s="30"/>
      <c r="K431" s="78"/>
    </row>
    <row r="432" spans="1:11" s="22" customFormat="1" ht="24.95" customHeight="1" x14ac:dyDescent="0.25">
      <c r="A432" s="21"/>
      <c r="F432" s="1"/>
      <c r="G432" s="26"/>
      <c r="H432" s="18"/>
      <c r="I432" s="53"/>
      <c r="J432" s="30"/>
      <c r="K432" s="78"/>
    </row>
    <row r="433" spans="1:11" s="22" customFormat="1" ht="24.95" customHeight="1" x14ac:dyDescent="0.25">
      <c r="A433" s="21"/>
      <c r="F433" s="1"/>
      <c r="G433" s="26"/>
      <c r="H433" s="18"/>
      <c r="I433" s="53"/>
      <c r="J433" s="30"/>
      <c r="K433" s="78"/>
    </row>
    <row r="434" spans="1:11" s="22" customFormat="1" ht="24.95" customHeight="1" x14ac:dyDescent="0.25">
      <c r="A434" s="21"/>
      <c r="F434" s="1"/>
      <c r="G434" s="26"/>
      <c r="H434" s="18"/>
      <c r="I434" s="53"/>
      <c r="J434" s="30"/>
      <c r="K434" s="78"/>
    </row>
    <row r="435" spans="1:11" s="22" customFormat="1" ht="24.95" customHeight="1" x14ac:dyDescent="0.25">
      <c r="A435" s="21"/>
      <c r="F435" s="1"/>
      <c r="G435" s="26"/>
      <c r="H435" s="18"/>
      <c r="I435" s="53"/>
      <c r="J435" s="30"/>
      <c r="K435" s="78"/>
    </row>
    <row r="436" spans="1:11" s="22" customFormat="1" ht="24.95" customHeight="1" x14ac:dyDescent="0.25">
      <c r="A436" s="21"/>
      <c r="F436" s="1"/>
      <c r="G436" s="26"/>
      <c r="H436" s="18"/>
      <c r="I436" s="53"/>
      <c r="J436" s="30"/>
      <c r="K436" s="78"/>
    </row>
    <row r="437" spans="1:11" s="22" customFormat="1" ht="24.95" customHeight="1" x14ac:dyDescent="0.25">
      <c r="A437" s="21"/>
      <c r="F437" s="1"/>
      <c r="G437" s="26"/>
      <c r="H437" s="18"/>
      <c r="I437" s="53"/>
      <c r="J437" s="30"/>
      <c r="K437" s="78"/>
    </row>
    <row r="438" spans="1:11" s="22" customFormat="1" ht="24.95" customHeight="1" x14ac:dyDescent="0.25">
      <c r="A438" s="21"/>
      <c r="F438" s="1"/>
      <c r="G438" s="26"/>
      <c r="H438" s="18"/>
      <c r="I438" s="53"/>
      <c r="J438" s="30"/>
      <c r="K438" s="78"/>
    </row>
    <row r="439" spans="1:11" s="22" customFormat="1" ht="24.95" customHeight="1" x14ac:dyDescent="0.25">
      <c r="A439" s="21"/>
      <c r="F439" s="1"/>
      <c r="G439" s="26"/>
      <c r="H439" s="18"/>
      <c r="I439" s="53"/>
      <c r="J439" s="30"/>
      <c r="K439" s="78"/>
    </row>
    <row r="440" spans="1:11" s="22" customFormat="1" ht="24.95" customHeight="1" x14ac:dyDescent="0.25">
      <c r="A440" s="21"/>
      <c r="F440" s="1"/>
      <c r="G440" s="26"/>
      <c r="H440" s="18"/>
      <c r="I440" s="53"/>
      <c r="J440" s="30"/>
      <c r="K440" s="78"/>
    </row>
    <row r="441" spans="1:11" s="22" customFormat="1" ht="24.95" customHeight="1" x14ac:dyDescent="0.25">
      <c r="A441" s="21"/>
      <c r="F441" s="1"/>
      <c r="G441" s="26"/>
      <c r="H441" s="18"/>
      <c r="I441" s="53"/>
      <c r="J441" s="30"/>
      <c r="K441" s="78"/>
    </row>
    <row r="442" spans="1:11" s="22" customFormat="1" ht="24.95" customHeight="1" x14ac:dyDescent="0.25">
      <c r="A442" s="21"/>
      <c r="F442" s="1"/>
      <c r="G442" s="26"/>
      <c r="H442" s="18"/>
      <c r="I442" s="53"/>
      <c r="J442" s="30"/>
      <c r="K442" s="78"/>
    </row>
    <row r="443" spans="1:11" s="22" customFormat="1" ht="24.95" customHeight="1" x14ac:dyDescent="0.25">
      <c r="A443" s="21"/>
      <c r="F443" s="1"/>
      <c r="G443" s="26"/>
      <c r="H443" s="18"/>
      <c r="I443" s="53"/>
      <c r="J443" s="30"/>
      <c r="K443" s="78"/>
    </row>
    <row r="444" spans="1:11" s="22" customFormat="1" ht="24.95" customHeight="1" x14ac:dyDescent="0.25">
      <c r="A444" s="21"/>
      <c r="F444" s="1"/>
      <c r="G444" s="26"/>
      <c r="H444" s="18"/>
      <c r="I444" s="53"/>
      <c r="J444" s="30"/>
      <c r="K444" s="78"/>
    </row>
    <row r="445" spans="1:11" s="22" customFormat="1" ht="24.95" customHeight="1" x14ac:dyDescent="0.25">
      <c r="A445" s="21"/>
      <c r="F445" s="1"/>
      <c r="G445" s="26"/>
      <c r="H445" s="18"/>
      <c r="I445" s="53"/>
      <c r="J445" s="30"/>
      <c r="K445" s="78"/>
    </row>
    <row r="446" spans="1:11" s="22" customFormat="1" ht="24.95" customHeight="1" x14ac:dyDescent="0.25">
      <c r="A446" s="21"/>
      <c r="F446" s="1"/>
      <c r="G446" s="26"/>
      <c r="H446" s="18"/>
      <c r="I446" s="53"/>
      <c r="J446" s="30"/>
      <c r="K446" s="78"/>
    </row>
    <row r="447" spans="1:11" s="22" customFormat="1" ht="24.95" customHeight="1" x14ac:dyDescent="0.25">
      <c r="A447" s="21"/>
      <c r="F447" s="1"/>
      <c r="G447" s="26"/>
      <c r="H447" s="18"/>
      <c r="I447" s="53"/>
      <c r="J447" s="30"/>
      <c r="K447" s="78"/>
    </row>
    <row r="448" spans="1:11" s="22" customFormat="1" ht="24.95" customHeight="1" x14ac:dyDescent="0.25">
      <c r="A448" s="21"/>
      <c r="F448" s="1"/>
      <c r="G448" s="26"/>
      <c r="H448" s="18"/>
      <c r="I448" s="53"/>
      <c r="J448" s="30"/>
      <c r="K448" s="78"/>
    </row>
    <row r="449" spans="1:11" s="22" customFormat="1" ht="24.95" customHeight="1" x14ac:dyDescent="0.25">
      <c r="A449" s="21"/>
      <c r="F449" s="1"/>
      <c r="G449" s="26"/>
      <c r="H449" s="18"/>
      <c r="I449" s="53"/>
      <c r="J449" s="30"/>
      <c r="K449" s="78"/>
    </row>
    <row r="450" spans="1:11" s="22" customFormat="1" ht="24.95" customHeight="1" x14ac:dyDescent="0.25">
      <c r="A450" s="21"/>
      <c r="F450" s="1"/>
      <c r="G450" s="26"/>
      <c r="H450" s="18"/>
      <c r="I450" s="53"/>
      <c r="J450" s="30"/>
      <c r="K450" s="78"/>
    </row>
    <row r="451" spans="1:11" s="22" customFormat="1" ht="24.95" customHeight="1" x14ac:dyDescent="0.25">
      <c r="A451" s="21"/>
      <c r="F451" s="1"/>
      <c r="G451" s="26"/>
      <c r="H451" s="18"/>
      <c r="I451" s="53"/>
      <c r="J451" s="30"/>
      <c r="K451" s="78"/>
    </row>
    <row r="452" spans="1:11" s="22" customFormat="1" ht="24.95" customHeight="1" x14ac:dyDescent="0.25">
      <c r="A452" s="21"/>
      <c r="F452" s="1"/>
      <c r="G452" s="26"/>
      <c r="H452" s="18"/>
      <c r="I452" s="53"/>
      <c r="J452" s="30"/>
      <c r="K452" s="78"/>
    </row>
    <row r="453" spans="1:11" s="22" customFormat="1" ht="24.95" customHeight="1" x14ac:dyDescent="0.25">
      <c r="A453" s="21"/>
      <c r="F453" s="1"/>
      <c r="G453" s="26"/>
      <c r="H453" s="18"/>
      <c r="I453" s="53"/>
      <c r="J453" s="30"/>
      <c r="K453" s="78"/>
    </row>
    <row r="454" spans="1:11" s="22" customFormat="1" ht="24.95" customHeight="1" x14ac:dyDescent="0.25">
      <c r="A454" s="21"/>
      <c r="F454" s="1"/>
      <c r="G454" s="26"/>
      <c r="H454" s="18"/>
      <c r="I454" s="53"/>
      <c r="J454" s="30"/>
      <c r="K454" s="78"/>
    </row>
    <row r="455" spans="1:11" s="22" customFormat="1" ht="24.95" customHeight="1" x14ac:dyDescent="0.25">
      <c r="A455" s="21"/>
      <c r="F455" s="1"/>
      <c r="G455" s="26"/>
      <c r="H455" s="18"/>
      <c r="I455" s="53"/>
      <c r="J455" s="30"/>
      <c r="K455" s="78"/>
    </row>
    <row r="456" spans="1:11" s="22" customFormat="1" ht="24.95" customHeight="1" x14ac:dyDescent="0.25">
      <c r="A456" s="21"/>
      <c r="F456" s="1"/>
      <c r="G456" s="26"/>
      <c r="H456" s="18"/>
      <c r="I456" s="53"/>
      <c r="J456" s="30"/>
      <c r="K456" s="78"/>
    </row>
    <row r="457" spans="1:11" s="22" customFormat="1" ht="24.95" customHeight="1" x14ac:dyDescent="0.25">
      <c r="A457" s="21"/>
      <c r="F457" s="1"/>
      <c r="G457" s="26"/>
      <c r="H457" s="18"/>
      <c r="I457" s="53"/>
      <c r="J457" s="30"/>
      <c r="K457" s="78"/>
    </row>
    <row r="458" spans="1:11" s="22" customFormat="1" ht="24.95" customHeight="1" x14ac:dyDescent="0.25">
      <c r="A458" s="21"/>
      <c r="F458" s="1"/>
      <c r="G458" s="26"/>
      <c r="H458" s="18"/>
      <c r="I458" s="53"/>
      <c r="J458" s="30"/>
      <c r="K458" s="78"/>
    </row>
    <row r="459" spans="1:11" s="22" customFormat="1" ht="24.95" customHeight="1" x14ac:dyDescent="0.25">
      <c r="A459" s="21"/>
      <c r="F459" s="1"/>
      <c r="G459" s="26"/>
      <c r="H459" s="18"/>
      <c r="I459" s="53"/>
      <c r="J459" s="30"/>
      <c r="K459" s="78"/>
    </row>
    <row r="460" spans="1:11" s="22" customFormat="1" ht="24.95" customHeight="1" x14ac:dyDescent="0.25">
      <c r="A460" s="21"/>
      <c r="F460" s="1"/>
      <c r="G460" s="26"/>
      <c r="H460" s="18"/>
      <c r="I460" s="53"/>
      <c r="J460" s="30"/>
      <c r="K460" s="78"/>
    </row>
    <row r="461" spans="1:11" s="22" customFormat="1" ht="24.95" customHeight="1" x14ac:dyDescent="0.25">
      <c r="A461" s="21"/>
      <c r="F461" s="1"/>
      <c r="G461" s="26"/>
      <c r="H461" s="18"/>
      <c r="I461" s="53"/>
      <c r="J461" s="30"/>
      <c r="K461" s="78"/>
    </row>
    <row r="462" spans="1:11" s="22" customFormat="1" ht="24.95" customHeight="1" x14ac:dyDescent="0.25">
      <c r="A462" s="21"/>
      <c r="F462" s="1"/>
      <c r="G462" s="26"/>
      <c r="H462" s="18"/>
      <c r="I462" s="53"/>
      <c r="J462" s="30"/>
      <c r="K462" s="78"/>
    </row>
    <row r="463" spans="1:11" s="22" customFormat="1" ht="24.95" customHeight="1" x14ac:dyDescent="0.25">
      <c r="A463" s="21"/>
      <c r="F463" s="1"/>
      <c r="G463" s="26"/>
      <c r="H463" s="18"/>
      <c r="I463" s="53"/>
      <c r="J463" s="30"/>
      <c r="K463" s="78"/>
    </row>
    <row r="464" spans="1:11" s="22" customFormat="1" ht="24.95" customHeight="1" x14ac:dyDescent="0.25">
      <c r="A464" s="21"/>
      <c r="F464" s="1"/>
      <c r="G464" s="26"/>
      <c r="H464" s="18"/>
      <c r="I464" s="53"/>
      <c r="J464" s="30"/>
      <c r="K464" s="78"/>
    </row>
    <row r="465" spans="1:11" s="22" customFormat="1" ht="24.95" customHeight="1" x14ac:dyDescent="0.25">
      <c r="A465" s="21"/>
      <c r="F465" s="1"/>
      <c r="G465" s="26"/>
      <c r="H465" s="18"/>
      <c r="I465" s="53"/>
      <c r="J465" s="30"/>
      <c r="K465" s="78"/>
    </row>
    <row r="466" spans="1:11" s="22" customFormat="1" ht="24.95" customHeight="1" x14ac:dyDescent="0.25">
      <c r="A466" s="21"/>
      <c r="F466" s="1"/>
      <c r="G466" s="26"/>
      <c r="H466" s="18"/>
      <c r="I466" s="53"/>
      <c r="J466" s="30"/>
      <c r="K466" s="78"/>
    </row>
    <row r="467" spans="1:11" s="22" customFormat="1" ht="24.95" customHeight="1" x14ac:dyDescent="0.25">
      <c r="A467" s="21"/>
      <c r="F467" s="1"/>
      <c r="G467" s="26"/>
      <c r="H467" s="18"/>
      <c r="I467" s="53"/>
      <c r="J467" s="30"/>
      <c r="K467" s="78"/>
    </row>
    <row r="468" spans="1:11" s="22" customFormat="1" ht="24.95" customHeight="1" x14ac:dyDescent="0.25">
      <c r="A468" s="21"/>
      <c r="F468" s="1"/>
      <c r="G468" s="26"/>
      <c r="H468" s="18"/>
      <c r="I468" s="53"/>
      <c r="J468" s="30"/>
      <c r="K468" s="78"/>
    </row>
    <row r="469" spans="1:11" s="22" customFormat="1" ht="24.95" customHeight="1" x14ac:dyDescent="0.25">
      <c r="A469" s="21"/>
      <c r="F469" s="1"/>
      <c r="G469" s="26"/>
      <c r="H469" s="18"/>
      <c r="I469" s="53"/>
      <c r="J469" s="30"/>
      <c r="K469" s="78"/>
    </row>
    <row r="470" spans="1:11" s="22" customFormat="1" ht="24.95" customHeight="1" x14ac:dyDescent="0.25">
      <c r="A470" s="21"/>
      <c r="F470" s="1"/>
      <c r="G470" s="26"/>
      <c r="H470" s="18"/>
      <c r="I470" s="53"/>
      <c r="J470" s="30"/>
      <c r="K470" s="78"/>
    </row>
    <row r="471" spans="1:11" s="22" customFormat="1" ht="24.95" customHeight="1" x14ac:dyDescent="0.25">
      <c r="A471" s="21"/>
      <c r="F471" s="1"/>
      <c r="G471" s="26"/>
      <c r="H471" s="18"/>
      <c r="I471" s="53"/>
      <c r="J471" s="30"/>
      <c r="K471" s="78"/>
    </row>
    <row r="472" spans="1:11" s="22" customFormat="1" ht="24.95" customHeight="1" x14ac:dyDescent="0.25">
      <c r="A472" s="21"/>
      <c r="F472" s="1"/>
      <c r="G472" s="26"/>
      <c r="H472" s="18"/>
      <c r="I472" s="53"/>
      <c r="J472" s="30"/>
      <c r="K472" s="78"/>
    </row>
    <row r="473" spans="1:11" s="22" customFormat="1" ht="24.95" customHeight="1" x14ac:dyDescent="0.25">
      <c r="A473" s="21"/>
      <c r="F473" s="1"/>
      <c r="G473" s="26"/>
      <c r="H473" s="18"/>
      <c r="I473" s="53"/>
      <c r="J473" s="30"/>
      <c r="K473" s="78"/>
    </row>
    <row r="474" spans="1:11" s="22" customFormat="1" ht="24.95" customHeight="1" x14ac:dyDescent="0.25">
      <c r="A474" s="21"/>
      <c r="F474" s="1"/>
      <c r="G474" s="26"/>
      <c r="H474" s="18"/>
      <c r="I474" s="53"/>
      <c r="J474" s="30"/>
      <c r="K474" s="78"/>
    </row>
    <row r="475" spans="1:11" s="22" customFormat="1" ht="24.95" customHeight="1" x14ac:dyDescent="0.25">
      <c r="A475" s="21"/>
      <c r="F475" s="1"/>
      <c r="G475" s="26"/>
      <c r="H475" s="18"/>
      <c r="I475" s="53"/>
      <c r="J475" s="30"/>
      <c r="K475" s="78"/>
    </row>
    <row r="476" spans="1:11" s="22" customFormat="1" ht="24.95" customHeight="1" x14ac:dyDescent="0.25">
      <c r="A476" s="21"/>
      <c r="F476" s="1"/>
      <c r="G476" s="26"/>
      <c r="H476" s="18"/>
      <c r="I476" s="53"/>
      <c r="J476" s="30"/>
      <c r="K476" s="78"/>
    </row>
    <row r="477" spans="1:11" s="22" customFormat="1" ht="24.95" customHeight="1" x14ac:dyDescent="0.25">
      <c r="A477" s="21"/>
      <c r="F477" s="1"/>
      <c r="G477" s="26"/>
      <c r="H477" s="18"/>
      <c r="I477" s="53"/>
      <c r="J477" s="30"/>
      <c r="K477" s="78"/>
    </row>
    <row r="478" spans="1:11" s="22" customFormat="1" ht="24.95" customHeight="1" x14ac:dyDescent="0.25">
      <c r="A478" s="21"/>
      <c r="F478" s="1"/>
      <c r="G478" s="26"/>
      <c r="H478" s="18"/>
      <c r="I478" s="53"/>
      <c r="J478" s="30"/>
      <c r="K478" s="78"/>
    </row>
    <row r="479" spans="1:11" s="22" customFormat="1" ht="24.95" customHeight="1" x14ac:dyDescent="0.25">
      <c r="A479" s="21"/>
      <c r="F479" s="1"/>
      <c r="G479" s="26"/>
      <c r="H479" s="18"/>
      <c r="I479" s="53"/>
      <c r="J479" s="30"/>
      <c r="K479" s="78"/>
    </row>
    <row r="480" spans="1:11" s="22" customFormat="1" ht="24.95" customHeight="1" x14ac:dyDescent="0.25">
      <c r="A480" s="21"/>
      <c r="F480" s="1"/>
      <c r="G480" s="26"/>
      <c r="H480" s="18"/>
      <c r="I480" s="53"/>
      <c r="J480" s="30"/>
      <c r="K480" s="78"/>
    </row>
    <row r="481" spans="1:11" s="22" customFormat="1" ht="24.95" customHeight="1" x14ac:dyDescent="0.25">
      <c r="A481" s="21"/>
      <c r="F481" s="1"/>
      <c r="G481" s="26"/>
      <c r="H481" s="18"/>
      <c r="I481" s="53"/>
      <c r="J481" s="30"/>
      <c r="K481" s="78"/>
    </row>
    <row r="482" spans="1:11" s="22" customFormat="1" ht="24.95" customHeight="1" x14ac:dyDescent="0.25">
      <c r="A482" s="21"/>
      <c r="F482" s="1"/>
      <c r="G482" s="26"/>
      <c r="H482" s="18"/>
      <c r="I482" s="53"/>
      <c r="J482" s="30"/>
      <c r="K482" s="78"/>
    </row>
    <row r="483" spans="1:11" s="22" customFormat="1" ht="24.95" customHeight="1" x14ac:dyDescent="0.25">
      <c r="A483" s="21"/>
      <c r="F483" s="1"/>
      <c r="G483" s="26"/>
      <c r="H483" s="18"/>
      <c r="I483" s="53"/>
      <c r="J483" s="30"/>
      <c r="K483" s="78"/>
    </row>
    <row r="484" spans="1:11" s="22" customFormat="1" ht="24.95" customHeight="1" x14ac:dyDescent="0.25">
      <c r="A484" s="21"/>
      <c r="F484" s="1"/>
      <c r="G484" s="26"/>
      <c r="H484" s="18"/>
      <c r="I484" s="53"/>
      <c r="J484" s="30"/>
      <c r="K484" s="78"/>
    </row>
    <row r="485" spans="1:11" s="22" customFormat="1" ht="24.95" customHeight="1" x14ac:dyDescent="0.25">
      <c r="A485" s="21"/>
      <c r="F485" s="1"/>
      <c r="G485" s="26"/>
      <c r="H485" s="18"/>
      <c r="I485" s="53"/>
      <c r="J485" s="30"/>
      <c r="K485" s="78"/>
    </row>
    <row r="486" spans="1:11" s="22" customFormat="1" ht="24.95" customHeight="1" x14ac:dyDescent="0.25">
      <c r="A486" s="21"/>
      <c r="F486" s="1"/>
      <c r="G486" s="26"/>
      <c r="H486" s="18"/>
      <c r="I486" s="53"/>
      <c r="J486" s="30"/>
      <c r="K486" s="78"/>
    </row>
    <row r="487" spans="1:11" s="22" customFormat="1" ht="24.95" customHeight="1" x14ac:dyDescent="0.25">
      <c r="A487" s="21"/>
      <c r="F487" s="1"/>
      <c r="G487" s="26"/>
      <c r="H487" s="18"/>
      <c r="I487" s="53"/>
      <c r="J487" s="30"/>
      <c r="K487" s="78"/>
    </row>
    <row r="488" spans="1:11" s="22" customFormat="1" ht="24.95" customHeight="1" x14ac:dyDescent="0.25">
      <c r="A488" s="21"/>
      <c r="F488" s="1"/>
      <c r="G488" s="26"/>
      <c r="H488" s="18"/>
      <c r="I488" s="53"/>
      <c r="J488" s="30"/>
      <c r="K488" s="78"/>
    </row>
    <row r="489" spans="1:11" s="22" customFormat="1" ht="24.95" customHeight="1" x14ac:dyDescent="0.25">
      <c r="A489" s="21"/>
      <c r="F489" s="1"/>
      <c r="G489" s="26"/>
      <c r="H489" s="18"/>
      <c r="I489" s="53"/>
      <c r="J489" s="30"/>
      <c r="K489" s="78"/>
    </row>
    <row r="490" spans="1:11" s="22" customFormat="1" ht="24.95" customHeight="1" x14ac:dyDescent="0.25">
      <c r="A490" s="21"/>
      <c r="F490" s="1"/>
      <c r="G490" s="26"/>
      <c r="H490" s="18"/>
      <c r="I490" s="53"/>
      <c r="J490" s="30"/>
      <c r="K490" s="78"/>
    </row>
    <row r="491" spans="1:11" s="22" customFormat="1" ht="24.95" customHeight="1" x14ac:dyDescent="0.25">
      <c r="A491" s="21"/>
      <c r="F491" s="1"/>
      <c r="G491" s="26"/>
      <c r="H491" s="18"/>
      <c r="I491" s="53"/>
      <c r="J491" s="30"/>
      <c r="K491" s="78"/>
    </row>
    <row r="492" spans="1:11" s="22" customFormat="1" ht="24.95" customHeight="1" x14ac:dyDescent="0.25">
      <c r="A492" s="21"/>
      <c r="F492" s="1"/>
      <c r="G492" s="26"/>
      <c r="H492" s="18"/>
      <c r="I492" s="53"/>
      <c r="J492" s="30"/>
      <c r="K492" s="78"/>
    </row>
    <row r="493" spans="1:11" s="22" customFormat="1" ht="24.95" customHeight="1" x14ac:dyDescent="0.25">
      <c r="A493" s="21"/>
      <c r="F493" s="1"/>
      <c r="G493" s="26"/>
      <c r="H493" s="18"/>
      <c r="I493" s="53"/>
      <c r="J493" s="30"/>
      <c r="K493" s="78"/>
    </row>
    <row r="494" spans="1:11" s="22" customFormat="1" ht="24.95" customHeight="1" x14ac:dyDescent="0.25">
      <c r="A494" s="21"/>
      <c r="F494" s="1"/>
      <c r="G494" s="26"/>
      <c r="H494" s="18"/>
      <c r="I494" s="53"/>
      <c r="J494" s="30"/>
      <c r="K494" s="78"/>
    </row>
    <row r="495" spans="1:11" s="22" customFormat="1" ht="24.95" customHeight="1" x14ac:dyDescent="0.25">
      <c r="A495" s="21"/>
      <c r="F495" s="1"/>
      <c r="G495" s="26"/>
      <c r="H495" s="18"/>
      <c r="I495" s="53"/>
      <c r="J495" s="30"/>
      <c r="K495" s="78"/>
    </row>
    <row r="496" spans="1:11" s="22" customFormat="1" ht="24.95" customHeight="1" x14ac:dyDescent="0.25">
      <c r="A496" s="21"/>
      <c r="F496" s="1"/>
      <c r="G496" s="26"/>
      <c r="H496" s="18"/>
      <c r="I496" s="53"/>
      <c r="J496" s="30"/>
      <c r="K496" s="78"/>
    </row>
    <row r="497" spans="1:11" s="22" customFormat="1" ht="24.95" customHeight="1" x14ac:dyDescent="0.25">
      <c r="A497" s="21"/>
      <c r="F497" s="1"/>
      <c r="G497" s="26"/>
      <c r="H497" s="18"/>
      <c r="I497" s="53"/>
      <c r="J497" s="30"/>
      <c r="K497" s="78"/>
    </row>
    <row r="498" spans="1:11" s="22" customFormat="1" ht="24.95" customHeight="1" x14ac:dyDescent="0.25">
      <c r="A498" s="21"/>
      <c r="F498" s="1"/>
      <c r="G498" s="26"/>
      <c r="H498" s="18"/>
      <c r="I498" s="53"/>
      <c r="J498" s="30"/>
      <c r="K498" s="78"/>
    </row>
    <row r="499" spans="1:11" s="22" customFormat="1" ht="24.95" customHeight="1" x14ac:dyDescent="0.25">
      <c r="A499" s="21"/>
      <c r="F499" s="1"/>
      <c r="G499" s="26"/>
      <c r="H499" s="18"/>
      <c r="I499" s="53"/>
      <c r="J499" s="30"/>
      <c r="K499" s="78"/>
    </row>
    <row r="500" spans="1:11" s="22" customFormat="1" ht="24.95" customHeight="1" x14ac:dyDescent="0.25">
      <c r="A500" s="21"/>
      <c r="F500" s="1"/>
      <c r="G500" s="26"/>
      <c r="H500" s="18"/>
      <c r="I500" s="53"/>
      <c r="J500" s="30"/>
      <c r="K500" s="78"/>
    </row>
    <row r="501" spans="1:11" s="22" customFormat="1" ht="24.95" customHeight="1" x14ac:dyDescent="0.25">
      <c r="A501" s="21"/>
      <c r="F501" s="1"/>
      <c r="G501" s="26"/>
      <c r="H501" s="18"/>
      <c r="I501" s="53"/>
      <c r="J501" s="30"/>
      <c r="K501" s="78"/>
    </row>
    <row r="502" spans="1:11" s="22" customFormat="1" ht="24.95" customHeight="1" x14ac:dyDescent="0.25">
      <c r="A502" s="21"/>
      <c r="F502" s="1"/>
      <c r="G502" s="26"/>
      <c r="H502" s="18"/>
      <c r="I502" s="53"/>
      <c r="J502" s="30"/>
      <c r="K502" s="78"/>
    </row>
    <row r="503" spans="1:11" s="22" customFormat="1" ht="24.95" customHeight="1" x14ac:dyDescent="0.25">
      <c r="A503" s="21"/>
      <c r="F503" s="1"/>
      <c r="G503" s="26"/>
      <c r="H503" s="18"/>
      <c r="I503" s="53"/>
      <c r="J503" s="30"/>
      <c r="K503" s="78"/>
    </row>
    <row r="504" spans="1:11" s="22" customFormat="1" ht="24.95" customHeight="1" x14ac:dyDescent="0.25">
      <c r="A504" s="21"/>
      <c r="F504" s="1"/>
      <c r="G504" s="26"/>
      <c r="H504" s="18"/>
      <c r="I504" s="53"/>
      <c r="J504" s="30"/>
      <c r="K504" s="78"/>
    </row>
    <row r="505" spans="1:11" s="22" customFormat="1" ht="24.95" customHeight="1" x14ac:dyDescent="0.25">
      <c r="A505" s="21"/>
      <c r="F505" s="1"/>
      <c r="G505" s="26"/>
      <c r="H505" s="18"/>
      <c r="I505" s="53"/>
      <c r="J505" s="30"/>
      <c r="K505" s="78"/>
    </row>
    <row r="506" spans="1:11" s="22" customFormat="1" ht="24.95" customHeight="1" x14ac:dyDescent="0.25">
      <c r="A506" s="21"/>
      <c r="F506" s="1"/>
      <c r="G506" s="26"/>
      <c r="H506" s="18"/>
      <c r="I506" s="53"/>
      <c r="J506" s="30"/>
      <c r="K506" s="78"/>
    </row>
    <row r="507" spans="1:11" s="22" customFormat="1" ht="24.95" customHeight="1" x14ac:dyDescent="0.25">
      <c r="A507" s="21"/>
      <c r="F507" s="1"/>
      <c r="G507" s="26"/>
      <c r="H507" s="18"/>
      <c r="I507" s="53"/>
      <c r="J507" s="30"/>
      <c r="K507" s="78"/>
    </row>
    <row r="508" spans="1:11" s="22" customFormat="1" ht="24.95" customHeight="1" x14ac:dyDescent="0.25">
      <c r="A508" s="21"/>
      <c r="F508" s="1"/>
      <c r="G508" s="26"/>
      <c r="H508" s="18"/>
      <c r="I508" s="53"/>
      <c r="J508" s="30"/>
      <c r="K508" s="78"/>
    </row>
    <row r="509" spans="1:11" s="22" customFormat="1" ht="24.95" customHeight="1" x14ac:dyDescent="0.25">
      <c r="A509" s="21"/>
      <c r="F509" s="1"/>
      <c r="G509" s="26"/>
      <c r="H509" s="18"/>
      <c r="I509" s="53"/>
      <c r="J509" s="30"/>
      <c r="K509" s="78"/>
    </row>
    <row r="510" spans="1:11" s="22" customFormat="1" ht="24.95" customHeight="1" x14ac:dyDescent="0.25">
      <c r="A510" s="21"/>
      <c r="F510" s="1"/>
      <c r="G510" s="26"/>
      <c r="H510" s="18"/>
      <c r="I510" s="53"/>
      <c r="J510" s="30"/>
      <c r="K510" s="78"/>
    </row>
    <row r="511" spans="1:11" s="22" customFormat="1" ht="24.95" customHeight="1" x14ac:dyDescent="0.25">
      <c r="A511" s="21"/>
      <c r="F511" s="1"/>
      <c r="G511" s="26"/>
      <c r="H511" s="18"/>
      <c r="I511" s="53"/>
      <c r="J511" s="30"/>
      <c r="K511" s="78"/>
    </row>
    <row r="512" spans="1:11" s="22" customFormat="1" ht="24.95" customHeight="1" x14ac:dyDescent="0.25">
      <c r="A512" s="21"/>
      <c r="F512" s="1"/>
      <c r="G512" s="26"/>
      <c r="H512" s="18"/>
      <c r="I512" s="53"/>
      <c r="J512" s="30"/>
      <c r="K512" s="78"/>
    </row>
    <row r="513" spans="1:11" s="22" customFormat="1" ht="24.95" customHeight="1" x14ac:dyDescent="0.25">
      <c r="A513" s="21"/>
      <c r="F513" s="1"/>
      <c r="G513" s="26"/>
      <c r="H513" s="18"/>
      <c r="I513" s="53"/>
      <c r="J513" s="30"/>
      <c r="K513" s="78"/>
    </row>
    <row r="514" spans="1:11" s="22" customFormat="1" ht="24.95" customHeight="1" x14ac:dyDescent="0.25">
      <c r="A514" s="21"/>
      <c r="F514" s="1"/>
      <c r="G514" s="26"/>
      <c r="H514" s="18"/>
      <c r="I514" s="53"/>
      <c r="J514" s="30"/>
      <c r="K514" s="78"/>
    </row>
    <row r="515" spans="1:11" s="22" customFormat="1" ht="24.95" customHeight="1" x14ac:dyDescent="0.25">
      <c r="A515" s="21"/>
      <c r="F515" s="1"/>
      <c r="G515" s="26"/>
      <c r="H515" s="18"/>
      <c r="I515" s="53"/>
      <c r="J515" s="30"/>
      <c r="K515" s="78"/>
    </row>
    <row r="516" spans="1:11" s="22" customFormat="1" ht="24.95" customHeight="1" x14ac:dyDescent="0.25">
      <c r="A516" s="21"/>
      <c r="F516" s="1"/>
      <c r="G516" s="26"/>
      <c r="H516" s="18"/>
      <c r="I516" s="53"/>
      <c r="J516" s="30"/>
      <c r="K516" s="78"/>
    </row>
    <row r="517" spans="1:11" s="22" customFormat="1" ht="24.95" customHeight="1" x14ac:dyDescent="0.25">
      <c r="A517" s="21"/>
      <c r="F517" s="1"/>
      <c r="G517" s="26"/>
      <c r="H517" s="18"/>
      <c r="I517" s="53"/>
      <c r="J517" s="30"/>
      <c r="K517" s="78"/>
    </row>
    <row r="518" spans="1:11" s="22" customFormat="1" ht="24.95" customHeight="1" x14ac:dyDescent="0.25">
      <c r="A518" s="21"/>
      <c r="F518" s="1"/>
      <c r="G518" s="26"/>
      <c r="H518" s="18"/>
      <c r="I518" s="53"/>
      <c r="J518" s="30"/>
      <c r="K518" s="78"/>
    </row>
    <row r="519" spans="1:11" s="22" customFormat="1" ht="24.95" customHeight="1" x14ac:dyDescent="0.25">
      <c r="A519" s="21"/>
      <c r="F519" s="1"/>
      <c r="G519" s="26"/>
      <c r="H519" s="18"/>
      <c r="I519" s="53"/>
      <c r="J519" s="30"/>
      <c r="K519" s="78"/>
    </row>
    <row r="520" spans="1:11" s="22" customFormat="1" ht="24.95" customHeight="1" x14ac:dyDescent="0.25">
      <c r="A520" s="21"/>
      <c r="F520" s="1"/>
      <c r="G520" s="26"/>
      <c r="H520" s="18"/>
      <c r="I520" s="53"/>
      <c r="J520" s="30"/>
      <c r="K520" s="78"/>
    </row>
    <row r="521" spans="1:11" s="22" customFormat="1" ht="24.95" customHeight="1" x14ac:dyDescent="0.25">
      <c r="A521" s="21"/>
      <c r="F521" s="1"/>
      <c r="G521" s="26"/>
      <c r="H521" s="18"/>
      <c r="I521" s="53"/>
      <c r="J521" s="30"/>
      <c r="K521" s="78"/>
    </row>
    <row r="522" spans="1:11" s="22" customFormat="1" ht="24.95" customHeight="1" x14ac:dyDescent="0.25">
      <c r="A522" s="21"/>
      <c r="F522" s="1"/>
      <c r="G522" s="26"/>
      <c r="H522" s="18"/>
      <c r="I522" s="53"/>
      <c r="J522" s="30"/>
      <c r="K522" s="78"/>
    </row>
    <row r="523" spans="1:11" s="22" customFormat="1" ht="24.95" customHeight="1" x14ac:dyDescent="0.25">
      <c r="A523" s="21"/>
      <c r="F523" s="1"/>
      <c r="G523" s="26"/>
      <c r="H523" s="18"/>
      <c r="I523" s="53"/>
      <c r="J523" s="30"/>
      <c r="K523" s="78"/>
    </row>
    <row r="524" spans="1:11" s="22" customFormat="1" ht="24.95" customHeight="1" x14ac:dyDescent="0.25">
      <c r="A524" s="21"/>
      <c r="F524" s="1"/>
      <c r="G524" s="26"/>
      <c r="H524" s="18"/>
      <c r="I524" s="53"/>
      <c r="J524" s="30"/>
      <c r="K524" s="78"/>
    </row>
    <row r="525" spans="1:11" s="22" customFormat="1" ht="24.95" customHeight="1" x14ac:dyDescent="0.25">
      <c r="A525" s="21"/>
      <c r="F525" s="1"/>
      <c r="G525" s="26"/>
      <c r="H525" s="18"/>
      <c r="I525" s="53"/>
      <c r="J525" s="30"/>
      <c r="K525" s="78"/>
    </row>
    <row r="526" spans="1:11" s="22" customFormat="1" ht="24.95" customHeight="1" x14ac:dyDescent="0.25">
      <c r="A526" s="21"/>
      <c r="F526" s="1"/>
      <c r="G526" s="26"/>
      <c r="H526" s="18"/>
      <c r="I526" s="53"/>
      <c r="J526" s="30"/>
      <c r="K526" s="78"/>
    </row>
    <row r="527" spans="1:11" s="22" customFormat="1" ht="24.95" customHeight="1" x14ac:dyDescent="0.25">
      <c r="A527" s="21"/>
      <c r="F527" s="1"/>
      <c r="G527" s="26"/>
      <c r="H527" s="18"/>
      <c r="I527" s="53"/>
      <c r="J527" s="30"/>
      <c r="K527" s="78"/>
    </row>
    <row r="528" spans="1:11" s="22" customFormat="1" ht="24.95" customHeight="1" x14ac:dyDescent="0.25">
      <c r="A528" s="21"/>
      <c r="F528" s="1"/>
      <c r="G528" s="26"/>
      <c r="H528" s="18"/>
      <c r="I528" s="53"/>
      <c r="J528" s="30"/>
      <c r="K528" s="78"/>
    </row>
    <row r="529" spans="1:11" s="22" customFormat="1" ht="24.95" customHeight="1" x14ac:dyDescent="0.25">
      <c r="A529" s="21"/>
      <c r="F529" s="1"/>
      <c r="G529" s="26"/>
      <c r="H529" s="18"/>
      <c r="I529" s="53"/>
      <c r="J529" s="30"/>
      <c r="K529" s="78"/>
    </row>
    <row r="530" spans="1:11" s="22" customFormat="1" ht="24.95" customHeight="1" x14ac:dyDescent="0.25">
      <c r="A530" s="21"/>
      <c r="F530" s="1"/>
      <c r="G530" s="26"/>
      <c r="H530" s="18"/>
      <c r="I530" s="53"/>
      <c r="J530" s="30"/>
      <c r="K530" s="78"/>
    </row>
    <row r="531" spans="1:11" s="22" customFormat="1" ht="24.95" customHeight="1" x14ac:dyDescent="0.25">
      <c r="A531" s="21"/>
      <c r="F531" s="1"/>
      <c r="G531" s="26"/>
      <c r="H531" s="18"/>
      <c r="I531" s="53"/>
      <c r="J531" s="30"/>
      <c r="K531" s="78"/>
    </row>
    <row r="532" spans="1:11" s="22" customFormat="1" ht="24.95" customHeight="1" x14ac:dyDescent="0.25">
      <c r="A532" s="21"/>
      <c r="F532" s="1"/>
      <c r="G532" s="26"/>
      <c r="H532" s="18"/>
      <c r="I532" s="53"/>
      <c r="J532" s="30"/>
      <c r="K532" s="78"/>
    </row>
    <row r="533" spans="1:11" s="22" customFormat="1" ht="24.95" customHeight="1" x14ac:dyDescent="0.25">
      <c r="A533" s="21"/>
      <c r="F533" s="1"/>
      <c r="G533" s="26"/>
      <c r="H533" s="18"/>
      <c r="I533" s="53"/>
      <c r="J533" s="30"/>
      <c r="K533" s="78"/>
    </row>
    <row r="534" spans="1:11" s="22" customFormat="1" ht="24.95" customHeight="1" x14ac:dyDescent="0.25">
      <c r="A534" s="21"/>
      <c r="F534" s="1"/>
      <c r="G534" s="26"/>
      <c r="H534" s="18"/>
      <c r="I534" s="53"/>
      <c r="J534" s="30"/>
      <c r="K534" s="78"/>
    </row>
    <row r="535" spans="1:11" s="22" customFormat="1" ht="24.95" customHeight="1" x14ac:dyDescent="0.25">
      <c r="A535" s="21"/>
      <c r="F535" s="1"/>
      <c r="G535" s="26"/>
      <c r="H535" s="18"/>
      <c r="I535" s="53"/>
      <c r="J535" s="30"/>
      <c r="K535" s="78"/>
    </row>
    <row r="536" spans="1:11" s="22" customFormat="1" ht="24.95" customHeight="1" x14ac:dyDescent="0.25">
      <c r="A536" s="21"/>
      <c r="F536" s="1"/>
      <c r="G536" s="26"/>
      <c r="H536" s="18"/>
      <c r="I536" s="53"/>
      <c r="J536" s="30"/>
      <c r="K536" s="78"/>
    </row>
    <row r="537" spans="1:11" s="22" customFormat="1" ht="24.95" customHeight="1" x14ac:dyDescent="0.25">
      <c r="A537" s="21"/>
      <c r="F537" s="1"/>
      <c r="G537" s="26"/>
      <c r="H537" s="18"/>
      <c r="I537" s="53"/>
      <c r="J537" s="30"/>
      <c r="K537" s="78"/>
    </row>
    <row r="538" spans="1:11" s="22" customFormat="1" ht="24.95" customHeight="1" x14ac:dyDescent="0.25">
      <c r="A538" s="21"/>
      <c r="F538" s="1"/>
      <c r="G538" s="26"/>
      <c r="H538" s="18"/>
      <c r="I538" s="53"/>
      <c r="J538" s="30"/>
      <c r="K538" s="78"/>
    </row>
    <row r="539" spans="1:11" s="22" customFormat="1" ht="24.95" customHeight="1" x14ac:dyDescent="0.25">
      <c r="A539" s="21"/>
      <c r="F539" s="1"/>
      <c r="G539" s="26"/>
      <c r="H539" s="18"/>
      <c r="I539" s="53"/>
      <c r="J539" s="30"/>
      <c r="K539" s="78"/>
    </row>
    <row r="540" spans="1:11" s="22" customFormat="1" ht="24.95" customHeight="1" x14ac:dyDescent="0.25">
      <c r="A540" s="21"/>
      <c r="F540" s="1"/>
      <c r="G540" s="26"/>
      <c r="H540" s="18"/>
      <c r="I540" s="53"/>
      <c r="J540" s="30"/>
      <c r="K540" s="78"/>
    </row>
    <row r="541" spans="1:11" s="22" customFormat="1" ht="24.95" customHeight="1" x14ac:dyDescent="0.25">
      <c r="A541" s="21"/>
      <c r="F541" s="1"/>
      <c r="G541" s="26"/>
      <c r="H541" s="18"/>
      <c r="I541" s="53"/>
      <c r="J541" s="30"/>
      <c r="K541" s="78"/>
    </row>
    <row r="542" spans="1:11" s="22" customFormat="1" ht="24.95" customHeight="1" x14ac:dyDescent="0.25">
      <c r="A542" s="21"/>
      <c r="F542" s="1"/>
      <c r="G542" s="26"/>
      <c r="H542" s="18"/>
      <c r="I542" s="53"/>
      <c r="J542" s="30"/>
      <c r="K542" s="78"/>
    </row>
    <row r="543" spans="1:11" s="22" customFormat="1" ht="24.95" customHeight="1" x14ac:dyDescent="0.25">
      <c r="A543" s="21"/>
      <c r="F543" s="1"/>
      <c r="G543" s="26"/>
      <c r="H543" s="18"/>
      <c r="I543" s="53"/>
      <c r="J543" s="30"/>
      <c r="K543" s="78"/>
    </row>
    <row r="544" spans="1:11" s="22" customFormat="1" ht="24.95" customHeight="1" x14ac:dyDescent="0.25">
      <c r="A544" s="21"/>
      <c r="F544" s="1"/>
      <c r="G544" s="26"/>
      <c r="H544" s="18"/>
      <c r="I544" s="53"/>
      <c r="J544" s="30"/>
      <c r="K544" s="78"/>
    </row>
    <row r="545" spans="1:11" s="22" customFormat="1" ht="24.95" customHeight="1" x14ac:dyDescent="0.25">
      <c r="A545" s="21"/>
      <c r="F545" s="1"/>
      <c r="G545" s="26"/>
      <c r="H545" s="18"/>
      <c r="I545" s="53"/>
      <c r="J545" s="30"/>
      <c r="K545" s="78"/>
    </row>
    <row r="546" spans="1:11" s="22" customFormat="1" ht="24.95" customHeight="1" x14ac:dyDescent="0.25">
      <c r="A546" s="21"/>
      <c r="F546" s="1"/>
      <c r="G546" s="26"/>
      <c r="H546" s="18"/>
      <c r="I546" s="53"/>
      <c r="J546" s="30"/>
      <c r="K546" s="78"/>
    </row>
    <row r="547" spans="1:11" s="22" customFormat="1" ht="24.95" customHeight="1" x14ac:dyDescent="0.25">
      <c r="A547" s="21"/>
      <c r="F547" s="1"/>
      <c r="G547" s="26"/>
      <c r="H547" s="18"/>
      <c r="I547" s="53"/>
      <c r="J547" s="30"/>
      <c r="K547" s="78"/>
    </row>
    <row r="548" spans="1:11" s="22" customFormat="1" ht="24.95" customHeight="1" x14ac:dyDescent="0.25">
      <c r="A548" s="21"/>
      <c r="F548" s="1"/>
      <c r="G548" s="26"/>
      <c r="H548" s="18"/>
      <c r="I548" s="53"/>
      <c r="J548" s="30"/>
      <c r="K548" s="78"/>
    </row>
    <row r="549" spans="1:11" s="22" customFormat="1" ht="24.95" customHeight="1" x14ac:dyDescent="0.25">
      <c r="A549" s="21"/>
      <c r="F549" s="1"/>
      <c r="G549" s="26"/>
      <c r="H549" s="18"/>
      <c r="I549" s="53"/>
      <c r="J549" s="30"/>
      <c r="K549" s="78"/>
    </row>
    <row r="550" spans="1:11" s="22" customFormat="1" ht="24.95" customHeight="1" x14ac:dyDescent="0.25">
      <c r="A550" s="21"/>
      <c r="F550" s="1"/>
      <c r="G550" s="26"/>
      <c r="H550" s="18"/>
      <c r="I550" s="53"/>
      <c r="J550" s="30"/>
      <c r="K550" s="78"/>
    </row>
    <row r="551" spans="1:11" s="22" customFormat="1" ht="24.95" customHeight="1" x14ac:dyDescent="0.25">
      <c r="A551" s="21"/>
      <c r="F551" s="1"/>
      <c r="G551" s="26"/>
      <c r="H551" s="18"/>
      <c r="I551" s="53"/>
      <c r="J551" s="30"/>
      <c r="K551" s="78"/>
    </row>
    <row r="552" spans="1:11" s="22" customFormat="1" ht="24.95" customHeight="1" x14ac:dyDescent="0.25">
      <c r="A552" s="21"/>
      <c r="F552" s="1"/>
      <c r="G552" s="26"/>
      <c r="H552" s="18"/>
      <c r="I552" s="53"/>
      <c r="J552" s="30"/>
      <c r="K552" s="78"/>
    </row>
    <row r="553" spans="1:11" s="22" customFormat="1" ht="24.95" customHeight="1" x14ac:dyDescent="0.25">
      <c r="A553" s="21"/>
      <c r="F553" s="1"/>
      <c r="G553" s="26"/>
      <c r="H553" s="18"/>
      <c r="I553" s="53"/>
      <c r="J553" s="30"/>
      <c r="K553" s="78"/>
    </row>
    <row r="554" spans="1:11" s="22" customFormat="1" ht="24.95" customHeight="1" x14ac:dyDescent="0.25">
      <c r="A554" s="21"/>
      <c r="F554" s="1"/>
      <c r="G554" s="26"/>
      <c r="H554" s="18"/>
      <c r="I554" s="53"/>
      <c r="J554" s="30"/>
      <c r="K554" s="78"/>
    </row>
    <row r="555" spans="1:11" s="22" customFormat="1" ht="24.95" customHeight="1" x14ac:dyDescent="0.25">
      <c r="A555" s="21"/>
      <c r="F555" s="1"/>
      <c r="G555" s="26"/>
      <c r="H555" s="18"/>
      <c r="I555" s="53"/>
      <c r="J555" s="30"/>
      <c r="K555" s="78"/>
    </row>
    <row r="556" spans="1:11" s="22" customFormat="1" ht="24.95" customHeight="1" x14ac:dyDescent="0.25">
      <c r="A556" s="21"/>
      <c r="F556" s="1"/>
      <c r="G556" s="26"/>
      <c r="H556" s="18"/>
      <c r="I556" s="53"/>
      <c r="J556" s="30"/>
      <c r="K556" s="78"/>
    </row>
    <row r="557" spans="1:11" s="22" customFormat="1" ht="24.95" customHeight="1" x14ac:dyDescent="0.25">
      <c r="A557" s="21"/>
      <c r="F557" s="1"/>
      <c r="G557" s="26"/>
      <c r="H557" s="18"/>
      <c r="I557" s="53"/>
      <c r="J557" s="30"/>
      <c r="K557" s="78"/>
    </row>
    <row r="558" spans="1:11" s="22" customFormat="1" ht="24.95" customHeight="1" x14ac:dyDescent="0.25">
      <c r="A558" s="21"/>
      <c r="F558" s="1"/>
      <c r="G558" s="26"/>
      <c r="H558" s="18"/>
      <c r="I558" s="53"/>
      <c r="J558" s="30"/>
      <c r="K558" s="78"/>
    </row>
    <row r="559" spans="1:11" s="22" customFormat="1" ht="24.95" customHeight="1" x14ac:dyDescent="0.25">
      <c r="A559" s="21"/>
      <c r="F559" s="1"/>
      <c r="G559" s="26"/>
      <c r="H559" s="18"/>
      <c r="I559" s="53"/>
      <c r="J559" s="30"/>
      <c r="K559" s="78"/>
    </row>
    <row r="560" spans="1:11" s="22" customFormat="1" ht="24.95" customHeight="1" x14ac:dyDescent="0.25">
      <c r="A560" s="21"/>
      <c r="F560" s="1"/>
      <c r="G560" s="26"/>
      <c r="H560" s="18"/>
      <c r="I560" s="53"/>
      <c r="J560" s="30"/>
      <c r="K560" s="78"/>
    </row>
    <row r="561" spans="1:11" s="22" customFormat="1" ht="24.95" customHeight="1" x14ac:dyDescent="0.25">
      <c r="A561" s="21"/>
      <c r="F561" s="1"/>
      <c r="G561" s="26"/>
      <c r="H561" s="18"/>
      <c r="I561" s="53"/>
      <c r="J561" s="30"/>
      <c r="K561" s="78"/>
    </row>
    <row r="562" spans="1:11" s="22" customFormat="1" ht="24.95" customHeight="1" x14ac:dyDescent="0.25">
      <c r="A562" s="21"/>
      <c r="F562" s="1"/>
      <c r="G562" s="26"/>
      <c r="H562" s="18"/>
      <c r="I562" s="53"/>
      <c r="J562" s="30"/>
      <c r="K562" s="78"/>
    </row>
    <row r="563" spans="1:11" s="22" customFormat="1" ht="24.95" customHeight="1" x14ac:dyDescent="0.25">
      <c r="A563" s="21"/>
      <c r="F563" s="1"/>
      <c r="G563" s="26"/>
      <c r="H563" s="18"/>
      <c r="I563" s="53"/>
      <c r="J563" s="30"/>
      <c r="K563" s="78"/>
    </row>
    <row r="564" spans="1:11" s="22" customFormat="1" ht="24.95" customHeight="1" x14ac:dyDescent="0.25">
      <c r="A564" s="21"/>
      <c r="F564" s="1"/>
      <c r="G564" s="26"/>
      <c r="H564" s="18"/>
      <c r="I564" s="53"/>
      <c r="J564" s="30"/>
      <c r="K564" s="78"/>
    </row>
    <row r="565" spans="1:11" s="22" customFormat="1" ht="24.95" customHeight="1" x14ac:dyDescent="0.25">
      <c r="A565" s="21"/>
      <c r="F565" s="1"/>
      <c r="G565" s="26"/>
      <c r="H565" s="18"/>
      <c r="I565" s="53"/>
      <c r="J565" s="30"/>
      <c r="K565" s="78"/>
    </row>
    <row r="566" spans="1:11" s="22" customFormat="1" ht="24.95" customHeight="1" x14ac:dyDescent="0.25">
      <c r="A566" s="21"/>
      <c r="F566" s="1"/>
      <c r="G566" s="26"/>
      <c r="H566" s="18"/>
      <c r="I566" s="53"/>
      <c r="J566" s="30"/>
      <c r="K566" s="78"/>
    </row>
    <row r="567" spans="1:11" s="22" customFormat="1" ht="24.95" customHeight="1" x14ac:dyDescent="0.25">
      <c r="A567" s="21"/>
      <c r="F567" s="1"/>
      <c r="G567" s="26"/>
      <c r="H567" s="18"/>
      <c r="I567" s="53"/>
      <c r="J567" s="30"/>
      <c r="K567" s="78"/>
    </row>
    <row r="568" spans="1:11" s="22" customFormat="1" ht="24.95" customHeight="1" x14ac:dyDescent="0.25">
      <c r="A568" s="21"/>
      <c r="F568" s="1"/>
      <c r="G568" s="26"/>
      <c r="H568" s="18"/>
      <c r="I568" s="53"/>
      <c r="J568" s="30"/>
      <c r="K568" s="78"/>
    </row>
    <row r="569" spans="1:11" s="22" customFormat="1" ht="24.95" customHeight="1" x14ac:dyDescent="0.25">
      <c r="A569" s="21"/>
      <c r="F569" s="1"/>
      <c r="G569" s="26"/>
      <c r="H569" s="18"/>
      <c r="I569" s="53"/>
      <c r="J569" s="30"/>
      <c r="K569" s="78"/>
    </row>
    <row r="570" spans="1:11" s="22" customFormat="1" ht="24.95" customHeight="1" x14ac:dyDescent="0.25">
      <c r="A570" s="21"/>
      <c r="F570" s="1"/>
      <c r="G570" s="26"/>
      <c r="H570" s="18"/>
      <c r="I570" s="53"/>
      <c r="J570" s="30"/>
      <c r="K570" s="78"/>
    </row>
    <row r="571" spans="1:11" s="22" customFormat="1" ht="24.95" customHeight="1" x14ac:dyDescent="0.25">
      <c r="A571" s="21"/>
      <c r="F571" s="1"/>
      <c r="G571" s="26"/>
      <c r="H571" s="18"/>
      <c r="I571" s="53"/>
      <c r="J571" s="30"/>
      <c r="K571" s="78"/>
    </row>
    <row r="572" spans="1:11" s="22" customFormat="1" ht="24.95" customHeight="1" x14ac:dyDescent="0.25">
      <c r="A572" s="21"/>
      <c r="F572" s="1"/>
      <c r="G572" s="26"/>
      <c r="H572" s="18"/>
      <c r="I572" s="53"/>
      <c r="J572" s="30"/>
      <c r="K572" s="78"/>
    </row>
    <row r="573" spans="1:11" s="22" customFormat="1" ht="24.95" customHeight="1" x14ac:dyDescent="0.25">
      <c r="A573" s="21"/>
      <c r="F573" s="1"/>
      <c r="G573" s="26"/>
      <c r="H573" s="18"/>
      <c r="I573" s="53"/>
      <c r="J573" s="30"/>
      <c r="K573" s="78"/>
    </row>
    <row r="574" spans="1:11" s="22" customFormat="1" ht="24.95" customHeight="1" x14ac:dyDescent="0.25">
      <c r="A574" s="21"/>
      <c r="F574" s="1"/>
      <c r="G574" s="26"/>
      <c r="H574" s="18"/>
      <c r="I574" s="53"/>
      <c r="J574" s="30"/>
      <c r="K574" s="78"/>
    </row>
    <row r="575" spans="1:11" s="22" customFormat="1" ht="24.95" customHeight="1" x14ac:dyDescent="0.25">
      <c r="A575" s="21"/>
      <c r="F575" s="1"/>
      <c r="G575" s="26"/>
      <c r="H575" s="18"/>
      <c r="I575" s="53"/>
      <c r="J575" s="30"/>
      <c r="K575" s="78"/>
    </row>
    <row r="576" spans="1:11" s="22" customFormat="1" ht="24.95" customHeight="1" x14ac:dyDescent="0.25">
      <c r="A576" s="21"/>
      <c r="F576" s="1"/>
      <c r="G576" s="26"/>
      <c r="H576" s="18"/>
      <c r="I576" s="53"/>
      <c r="J576" s="30"/>
      <c r="K576" s="78"/>
    </row>
    <row r="577" spans="1:11" s="22" customFormat="1" ht="24.95" customHeight="1" x14ac:dyDescent="0.25">
      <c r="A577" s="21"/>
      <c r="F577" s="1"/>
      <c r="G577" s="26"/>
      <c r="H577" s="18"/>
      <c r="I577" s="53"/>
      <c r="J577" s="30"/>
      <c r="K577" s="78"/>
    </row>
    <row r="578" spans="1:11" s="22" customFormat="1" ht="24.95" customHeight="1" x14ac:dyDescent="0.25">
      <c r="A578" s="21"/>
      <c r="F578" s="1"/>
      <c r="G578" s="26"/>
      <c r="H578" s="18"/>
      <c r="I578" s="53"/>
      <c r="J578" s="30"/>
      <c r="K578" s="78"/>
    </row>
    <row r="579" spans="1:11" s="22" customFormat="1" ht="24.95" customHeight="1" x14ac:dyDescent="0.25">
      <c r="A579" s="21"/>
      <c r="F579" s="1"/>
      <c r="G579" s="26"/>
      <c r="H579" s="18"/>
      <c r="I579" s="53"/>
      <c r="J579" s="30"/>
      <c r="K579" s="78"/>
    </row>
    <row r="580" spans="1:11" s="22" customFormat="1" ht="24.95" customHeight="1" x14ac:dyDescent="0.25">
      <c r="A580" s="21"/>
      <c r="F580" s="1"/>
      <c r="G580" s="26"/>
      <c r="H580" s="18"/>
      <c r="I580" s="53"/>
      <c r="J580" s="30"/>
      <c r="K580" s="78"/>
    </row>
    <row r="581" spans="1:11" s="22" customFormat="1" ht="24.95" customHeight="1" x14ac:dyDescent="0.25">
      <c r="A581" s="21"/>
      <c r="F581" s="1"/>
      <c r="G581" s="26"/>
      <c r="H581" s="18"/>
      <c r="I581" s="53"/>
      <c r="J581" s="30"/>
      <c r="K581" s="78"/>
    </row>
    <row r="582" spans="1:11" s="22" customFormat="1" ht="24.95" customHeight="1" x14ac:dyDescent="0.25">
      <c r="A582" s="21"/>
      <c r="F582" s="1"/>
      <c r="G582" s="26"/>
      <c r="H582" s="18"/>
      <c r="I582" s="53"/>
      <c r="J582" s="30"/>
      <c r="K582" s="78"/>
    </row>
    <row r="583" spans="1:11" s="22" customFormat="1" ht="24.95" customHeight="1" x14ac:dyDescent="0.25">
      <c r="A583" s="21"/>
      <c r="F583" s="1"/>
      <c r="G583" s="26"/>
      <c r="H583" s="18"/>
      <c r="I583" s="53"/>
      <c r="J583" s="30"/>
      <c r="K583" s="78"/>
    </row>
    <row r="584" spans="1:11" s="22" customFormat="1" ht="24.95" customHeight="1" x14ac:dyDescent="0.25">
      <c r="A584" s="21"/>
      <c r="F584" s="1"/>
      <c r="G584" s="26"/>
      <c r="H584" s="18"/>
      <c r="I584" s="53"/>
      <c r="J584" s="30"/>
      <c r="K584" s="78"/>
    </row>
    <row r="585" spans="1:11" s="22" customFormat="1" ht="24.95" customHeight="1" x14ac:dyDescent="0.25">
      <c r="A585" s="21"/>
      <c r="F585" s="1"/>
      <c r="G585" s="26"/>
      <c r="H585" s="18"/>
      <c r="I585" s="53"/>
      <c r="J585" s="30"/>
      <c r="K585" s="78"/>
    </row>
    <row r="586" spans="1:11" s="22" customFormat="1" ht="24.95" customHeight="1" x14ac:dyDescent="0.25">
      <c r="A586" s="21"/>
      <c r="F586" s="1"/>
      <c r="G586" s="26"/>
      <c r="H586" s="18"/>
      <c r="I586" s="53"/>
      <c r="J586" s="30"/>
      <c r="K586" s="78"/>
    </row>
    <row r="587" spans="1:11" s="22" customFormat="1" ht="24.95" customHeight="1" x14ac:dyDescent="0.25">
      <c r="A587" s="21"/>
      <c r="F587" s="1"/>
      <c r="G587" s="26"/>
      <c r="H587" s="18"/>
      <c r="I587" s="53"/>
      <c r="J587" s="30"/>
      <c r="K587" s="78"/>
    </row>
    <row r="588" spans="1:11" s="22" customFormat="1" ht="24.95" customHeight="1" x14ac:dyDescent="0.25">
      <c r="A588" s="21"/>
      <c r="F588" s="1"/>
      <c r="G588" s="26"/>
      <c r="H588" s="18"/>
      <c r="I588" s="53"/>
      <c r="J588" s="30"/>
      <c r="K588" s="78"/>
    </row>
    <row r="589" spans="1:11" s="22" customFormat="1" ht="24.95" customHeight="1" x14ac:dyDescent="0.25">
      <c r="A589" s="21"/>
      <c r="F589" s="1"/>
      <c r="G589" s="26"/>
      <c r="H589" s="18"/>
      <c r="I589" s="53"/>
      <c r="J589" s="30"/>
      <c r="K589" s="78"/>
    </row>
    <row r="590" spans="1:11" s="22" customFormat="1" ht="24.95" customHeight="1" x14ac:dyDescent="0.25">
      <c r="A590" s="21"/>
      <c r="F590" s="1"/>
      <c r="G590" s="26"/>
      <c r="H590" s="18"/>
      <c r="I590" s="53"/>
      <c r="J590" s="30"/>
      <c r="K590" s="78"/>
    </row>
    <row r="591" spans="1:11" s="22" customFormat="1" ht="24.95" customHeight="1" x14ac:dyDescent="0.25">
      <c r="A591" s="21"/>
      <c r="F591" s="1"/>
      <c r="G591" s="26"/>
      <c r="H591" s="18"/>
      <c r="I591" s="53"/>
      <c r="J591" s="30"/>
      <c r="K591" s="78"/>
    </row>
    <row r="592" spans="1:11" s="22" customFormat="1" ht="24.95" customHeight="1" x14ac:dyDescent="0.25">
      <c r="A592" s="21"/>
      <c r="F592" s="1"/>
      <c r="G592" s="26"/>
      <c r="H592" s="18"/>
      <c r="I592" s="53"/>
      <c r="J592" s="30"/>
      <c r="K592" s="78"/>
    </row>
    <row r="593" spans="1:11" s="22" customFormat="1" ht="24.95" customHeight="1" x14ac:dyDescent="0.25">
      <c r="A593" s="21"/>
      <c r="F593" s="1"/>
      <c r="G593" s="26"/>
      <c r="H593" s="18"/>
      <c r="I593" s="53"/>
      <c r="J593" s="30"/>
      <c r="K593" s="78"/>
    </row>
    <row r="594" spans="1:11" s="22" customFormat="1" ht="24.95" customHeight="1" x14ac:dyDescent="0.25">
      <c r="A594" s="21"/>
      <c r="F594" s="1"/>
      <c r="G594" s="26"/>
      <c r="H594" s="18"/>
      <c r="I594" s="53"/>
      <c r="J594" s="30"/>
      <c r="K594" s="78"/>
    </row>
    <row r="595" spans="1:11" s="22" customFormat="1" ht="24.95" customHeight="1" x14ac:dyDescent="0.25">
      <c r="A595" s="21"/>
      <c r="F595" s="1"/>
      <c r="G595" s="26"/>
      <c r="H595" s="18"/>
      <c r="I595" s="53"/>
      <c r="J595" s="30"/>
      <c r="K595" s="78"/>
    </row>
    <row r="596" spans="1:11" s="22" customFormat="1" ht="24.95" customHeight="1" x14ac:dyDescent="0.25">
      <c r="A596" s="21"/>
      <c r="F596" s="1"/>
      <c r="G596" s="26"/>
      <c r="H596" s="18"/>
      <c r="I596" s="53"/>
      <c r="J596" s="30"/>
      <c r="K596" s="78"/>
    </row>
    <row r="597" spans="1:11" s="22" customFormat="1" ht="24.95" customHeight="1" x14ac:dyDescent="0.25">
      <c r="A597" s="21"/>
      <c r="F597" s="1"/>
      <c r="G597" s="26"/>
      <c r="H597" s="18"/>
      <c r="I597" s="53"/>
      <c r="J597" s="30"/>
      <c r="K597" s="78"/>
    </row>
    <row r="598" spans="1:11" s="22" customFormat="1" ht="24.95" customHeight="1" x14ac:dyDescent="0.25">
      <c r="A598" s="21"/>
      <c r="F598" s="1"/>
      <c r="G598" s="26"/>
      <c r="H598" s="18"/>
      <c r="I598" s="53"/>
      <c r="J598" s="30"/>
      <c r="K598" s="78"/>
    </row>
    <row r="599" spans="1:11" s="22" customFormat="1" ht="24.95" customHeight="1" x14ac:dyDescent="0.25">
      <c r="A599" s="21"/>
      <c r="F599" s="1"/>
      <c r="G599" s="26"/>
      <c r="H599" s="18"/>
      <c r="I599" s="53"/>
      <c r="J599" s="30"/>
      <c r="K599" s="78"/>
    </row>
    <row r="600" spans="1:11" s="22" customFormat="1" ht="24.95" customHeight="1" x14ac:dyDescent="0.25">
      <c r="A600" s="21"/>
      <c r="F600" s="1"/>
      <c r="G600" s="26"/>
      <c r="H600" s="18"/>
      <c r="I600" s="53"/>
      <c r="J600" s="30"/>
      <c r="K600" s="78"/>
    </row>
    <row r="601" spans="1:11" s="22" customFormat="1" ht="24.95" customHeight="1" x14ac:dyDescent="0.25">
      <c r="A601" s="21"/>
      <c r="F601" s="1"/>
      <c r="G601" s="26"/>
      <c r="H601" s="18"/>
      <c r="I601" s="53"/>
      <c r="J601" s="30"/>
      <c r="K601" s="78"/>
    </row>
    <row r="602" spans="1:11" s="22" customFormat="1" ht="24.95" customHeight="1" x14ac:dyDescent="0.25">
      <c r="A602" s="21"/>
      <c r="F602" s="1"/>
      <c r="G602" s="26"/>
      <c r="H602" s="18"/>
      <c r="I602" s="53"/>
      <c r="J602" s="30"/>
      <c r="K602" s="78"/>
    </row>
    <row r="603" spans="1:11" s="22" customFormat="1" ht="24.95" customHeight="1" x14ac:dyDescent="0.25">
      <c r="A603" s="21"/>
      <c r="F603" s="1"/>
      <c r="G603" s="26"/>
      <c r="H603" s="18"/>
      <c r="I603" s="53"/>
      <c r="J603" s="30"/>
      <c r="K603" s="78"/>
    </row>
    <row r="604" spans="1:11" s="22" customFormat="1" ht="24.95" customHeight="1" x14ac:dyDescent="0.25">
      <c r="A604" s="21"/>
      <c r="F604" s="1"/>
      <c r="G604" s="26"/>
      <c r="H604" s="18"/>
      <c r="I604" s="53"/>
      <c r="J604" s="30"/>
      <c r="K604" s="78"/>
    </row>
    <row r="605" spans="1:11" s="22" customFormat="1" ht="24.95" customHeight="1" x14ac:dyDescent="0.25">
      <c r="A605" s="21"/>
      <c r="F605" s="1"/>
      <c r="G605" s="26"/>
      <c r="H605" s="18"/>
      <c r="I605" s="53"/>
      <c r="J605" s="30"/>
      <c r="K605" s="78"/>
    </row>
    <row r="606" spans="1:11" s="22" customFormat="1" ht="24.95" customHeight="1" x14ac:dyDescent="0.25">
      <c r="A606" s="21"/>
      <c r="F606" s="1"/>
      <c r="G606" s="26"/>
      <c r="H606" s="18"/>
      <c r="I606" s="53"/>
      <c r="J606" s="30"/>
      <c r="K606" s="78"/>
    </row>
    <row r="607" spans="1:11" s="22" customFormat="1" ht="24.95" customHeight="1" x14ac:dyDescent="0.25">
      <c r="A607" s="21"/>
      <c r="F607" s="1"/>
      <c r="G607" s="26"/>
      <c r="H607" s="18"/>
      <c r="I607" s="53"/>
      <c r="J607" s="30"/>
      <c r="K607" s="78"/>
    </row>
    <row r="608" spans="1:11" s="22" customFormat="1" ht="24.95" customHeight="1" x14ac:dyDescent="0.25">
      <c r="A608" s="21"/>
      <c r="F608" s="1"/>
      <c r="G608" s="26"/>
      <c r="H608" s="18"/>
      <c r="I608" s="53"/>
      <c r="J608" s="30"/>
      <c r="K608" s="78"/>
    </row>
    <row r="609" spans="1:11" s="22" customFormat="1" ht="24.95" customHeight="1" x14ac:dyDescent="0.25">
      <c r="A609" s="21"/>
      <c r="F609" s="1"/>
      <c r="G609" s="26"/>
      <c r="H609" s="18"/>
      <c r="I609" s="53"/>
      <c r="J609" s="30"/>
      <c r="K609" s="78"/>
    </row>
    <row r="610" spans="1:11" s="22" customFormat="1" ht="24.95" customHeight="1" x14ac:dyDescent="0.25">
      <c r="A610" s="21"/>
      <c r="F610" s="1"/>
      <c r="G610" s="26"/>
      <c r="H610" s="18"/>
      <c r="I610" s="53"/>
      <c r="J610" s="30"/>
      <c r="K610" s="78"/>
    </row>
    <row r="611" spans="1:11" s="22" customFormat="1" ht="24.95" customHeight="1" x14ac:dyDescent="0.25">
      <c r="A611" s="21"/>
      <c r="F611" s="1"/>
      <c r="G611" s="26"/>
      <c r="H611" s="18"/>
      <c r="I611" s="53"/>
      <c r="J611" s="30"/>
      <c r="K611" s="78"/>
    </row>
    <row r="612" spans="1:11" s="22" customFormat="1" ht="24.95" customHeight="1" x14ac:dyDescent="0.25">
      <c r="A612" s="21"/>
      <c r="F612" s="1"/>
      <c r="G612" s="26"/>
      <c r="H612" s="18"/>
      <c r="I612" s="53"/>
      <c r="J612" s="30"/>
      <c r="K612" s="78"/>
    </row>
    <row r="613" spans="1:11" s="22" customFormat="1" ht="24.95" customHeight="1" x14ac:dyDescent="0.25">
      <c r="A613" s="21"/>
      <c r="F613" s="1"/>
      <c r="G613" s="26"/>
      <c r="H613" s="18"/>
      <c r="I613" s="53"/>
      <c r="J613" s="30"/>
      <c r="K613" s="78"/>
    </row>
    <row r="614" spans="1:11" s="22" customFormat="1" ht="24.95" customHeight="1" x14ac:dyDescent="0.25">
      <c r="A614" s="21"/>
      <c r="F614" s="1"/>
      <c r="G614" s="26"/>
      <c r="H614" s="18"/>
      <c r="I614" s="53"/>
      <c r="J614" s="30"/>
      <c r="K614" s="78"/>
    </row>
    <row r="615" spans="1:11" s="22" customFormat="1" ht="24.95" customHeight="1" x14ac:dyDescent="0.25">
      <c r="A615" s="21"/>
      <c r="F615" s="1"/>
      <c r="G615" s="26"/>
      <c r="H615" s="18"/>
      <c r="I615" s="53"/>
      <c r="J615" s="30"/>
      <c r="K615" s="78"/>
    </row>
    <row r="616" spans="1:11" s="22" customFormat="1" ht="24.95" customHeight="1" x14ac:dyDescent="0.25">
      <c r="A616" s="21"/>
      <c r="F616" s="1"/>
      <c r="G616" s="26"/>
      <c r="H616" s="18"/>
      <c r="I616" s="53"/>
      <c r="J616" s="30"/>
      <c r="K616" s="78"/>
    </row>
    <row r="617" spans="1:11" s="22" customFormat="1" ht="24.95" customHeight="1" x14ac:dyDescent="0.25">
      <c r="A617" s="21"/>
      <c r="F617" s="1"/>
      <c r="G617" s="26"/>
      <c r="H617" s="18"/>
      <c r="I617" s="53"/>
      <c r="J617" s="30"/>
      <c r="K617" s="78"/>
    </row>
    <row r="618" spans="1:11" s="22" customFormat="1" ht="24.95" customHeight="1" x14ac:dyDescent="0.25">
      <c r="A618" s="21"/>
      <c r="F618" s="1"/>
      <c r="G618" s="26"/>
      <c r="H618" s="18"/>
      <c r="I618" s="53"/>
      <c r="J618" s="30"/>
      <c r="K618" s="78"/>
    </row>
    <row r="619" spans="1:11" s="22" customFormat="1" ht="24.95" customHeight="1" x14ac:dyDescent="0.25">
      <c r="A619" s="21"/>
      <c r="F619" s="1"/>
      <c r="G619" s="26"/>
      <c r="H619" s="18"/>
      <c r="I619" s="53"/>
      <c r="J619" s="30"/>
      <c r="K619" s="78"/>
    </row>
    <row r="620" spans="1:11" s="22" customFormat="1" ht="24.95" customHeight="1" x14ac:dyDescent="0.25">
      <c r="A620" s="21"/>
      <c r="F620" s="1"/>
      <c r="G620" s="26"/>
      <c r="H620" s="18"/>
      <c r="I620" s="53"/>
      <c r="J620" s="30"/>
      <c r="K620" s="78"/>
    </row>
    <row r="621" spans="1:11" s="22" customFormat="1" ht="24.95" customHeight="1" x14ac:dyDescent="0.25">
      <c r="A621" s="21"/>
      <c r="F621" s="1"/>
      <c r="G621" s="26"/>
      <c r="H621" s="18"/>
      <c r="I621" s="53"/>
      <c r="J621" s="30"/>
      <c r="K621" s="78"/>
    </row>
    <row r="622" spans="1:11" s="22" customFormat="1" ht="24.95" customHeight="1" x14ac:dyDescent="0.25">
      <c r="A622" s="21"/>
      <c r="F622" s="1"/>
      <c r="G622" s="26"/>
      <c r="H622" s="18"/>
      <c r="I622" s="53"/>
      <c r="J622" s="30"/>
      <c r="K622" s="78"/>
    </row>
    <row r="623" spans="1:11" s="22" customFormat="1" ht="24.95" customHeight="1" x14ac:dyDescent="0.25">
      <c r="A623" s="21"/>
      <c r="F623" s="1"/>
      <c r="G623" s="26"/>
      <c r="H623" s="18"/>
      <c r="I623" s="53"/>
      <c r="J623" s="30"/>
      <c r="K623" s="78"/>
    </row>
    <row r="624" spans="1:11" s="22" customFormat="1" ht="24.95" customHeight="1" x14ac:dyDescent="0.25">
      <c r="A624" s="21"/>
      <c r="F624" s="1"/>
      <c r="G624" s="26"/>
      <c r="H624" s="18"/>
      <c r="I624" s="53"/>
      <c r="J624" s="30"/>
      <c r="K624" s="78"/>
    </row>
    <row r="625" spans="1:11" s="22" customFormat="1" ht="24.95" customHeight="1" x14ac:dyDescent="0.25">
      <c r="A625" s="21"/>
      <c r="F625" s="1"/>
      <c r="G625" s="26"/>
      <c r="H625" s="18"/>
      <c r="I625" s="53"/>
      <c r="J625" s="30"/>
      <c r="K625" s="78"/>
    </row>
    <row r="626" spans="1:11" s="22" customFormat="1" ht="24.95" customHeight="1" x14ac:dyDescent="0.25">
      <c r="A626" s="21"/>
      <c r="F626" s="1"/>
      <c r="G626" s="26"/>
      <c r="H626" s="18"/>
      <c r="I626" s="53"/>
      <c r="J626" s="30"/>
      <c r="K626" s="78"/>
    </row>
    <row r="627" spans="1:11" s="22" customFormat="1" ht="24.95" customHeight="1" x14ac:dyDescent="0.25">
      <c r="A627" s="21"/>
      <c r="F627" s="1"/>
      <c r="G627" s="26"/>
      <c r="H627" s="18"/>
      <c r="I627" s="53"/>
      <c r="J627" s="30"/>
      <c r="K627" s="78"/>
    </row>
    <row r="628" spans="1:11" s="22" customFormat="1" ht="24.95" customHeight="1" x14ac:dyDescent="0.25">
      <c r="A628" s="21"/>
      <c r="F628" s="1"/>
      <c r="G628" s="26"/>
      <c r="H628" s="18"/>
      <c r="I628" s="53"/>
      <c r="J628" s="30"/>
      <c r="K628" s="78"/>
    </row>
    <row r="629" spans="1:11" s="22" customFormat="1" ht="24.95" customHeight="1" x14ac:dyDescent="0.25">
      <c r="A629" s="21"/>
      <c r="F629" s="1"/>
      <c r="G629" s="26"/>
      <c r="H629" s="18"/>
      <c r="I629" s="53"/>
      <c r="J629" s="31"/>
      <c r="K629" s="78"/>
    </row>
    <row r="630" spans="1:11" s="22" customFormat="1" ht="24.95" customHeight="1" x14ac:dyDescent="0.25">
      <c r="A630" s="21"/>
      <c r="F630" s="1"/>
      <c r="G630" s="26"/>
      <c r="H630" s="18"/>
      <c r="I630" s="53"/>
      <c r="J630" s="30"/>
      <c r="K630" s="78"/>
    </row>
    <row r="631" spans="1:11" s="22" customFormat="1" ht="24.95" customHeight="1" x14ac:dyDescent="0.25">
      <c r="A631" s="21"/>
      <c r="F631" s="1"/>
      <c r="G631" s="26"/>
      <c r="H631" s="18"/>
      <c r="I631" s="53"/>
      <c r="J631" s="30"/>
      <c r="K631" s="78"/>
    </row>
    <row r="632" spans="1:11" s="22" customFormat="1" ht="24.95" customHeight="1" x14ac:dyDescent="0.25">
      <c r="A632" s="21"/>
      <c r="F632" s="1"/>
      <c r="G632" s="26"/>
      <c r="H632" s="18"/>
      <c r="I632" s="53"/>
      <c r="J632" s="30"/>
      <c r="K632" s="78"/>
    </row>
    <row r="633" spans="1:11" s="22" customFormat="1" ht="24.95" customHeight="1" x14ac:dyDescent="0.25">
      <c r="A633" s="21"/>
      <c r="F633" s="1"/>
      <c r="G633" s="26"/>
      <c r="H633" s="18"/>
      <c r="I633" s="53"/>
      <c r="J633" s="30"/>
      <c r="K633" s="78"/>
    </row>
    <row r="634" spans="1:11" s="22" customFormat="1" ht="24.95" customHeight="1" x14ac:dyDescent="0.25">
      <c r="A634" s="21"/>
      <c r="F634" s="1"/>
      <c r="G634" s="26"/>
      <c r="H634" s="18"/>
      <c r="I634" s="53"/>
      <c r="J634" s="30"/>
      <c r="K634" s="78"/>
    </row>
    <row r="635" spans="1:11" s="22" customFormat="1" ht="24.95" customHeight="1" x14ac:dyDescent="0.25">
      <c r="A635" s="21"/>
      <c r="F635" s="1"/>
      <c r="G635" s="26"/>
      <c r="H635" s="18"/>
      <c r="I635" s="53"/>
      <c r="J635" s="30"/>
      <c r="K635" s="78"/>
    </row>
    <row r="636" spans="1:11" s="22" customFormat="1" ht="24.95" customHeight="1" x14ac:dyDescent="0.25">
      <c r="A636" s="21"/>
      <c r="F636" s="1"/>
      <c r="G636" s="26"/>
      <c r="H636" s="18"/>
      <c r="I636" s="53"/>
      <c r="J636" s="30"/>
      <c r="K636" s="78"/>
    </row>
    <row r="637" spans="1:11" s="22" customFormat="1" ht="24.95" customHeight="1" x14ac:dyDescent="0.25">
      <c r="A637" s="21"/>
      <c r="F637" s="1"/>
      <c r="G637" s="26"/>
      <c r="H637" s="18"/>
      <c r="I637" s="53"/>
      <c r="J637" s="30"/>
      <c r="K637" s="78"/>
    </row>
    <row r="638" spans="1:11" s="22" customFormat="1" ht="24.95" customHeight="1" x14ac:dyDescent="0.25">
      <c r="A638" s="21"/>
      <c r="F638" s="1"/>
      <c r="G638" s="26"/>
      <c r="H638" s="18"/>
      <c r="I638" s="53"/>
      <c r="J638" s="30"/>
      <c r="K638" s="78"/>
    </row>
    <row r="639" spans="1:11" s="22" customFormat="1" ht="24.95" customHeight="1" x14ac:dyDescent="0.25">
      <c r="A639" s="21"/>
      <c r="F639" s="1"/>
      <c r="G639" s="26"/>
      <c r="H639" s="18"/>
      <c r="I639" s="53"/>
      <c r="J639" s="30"/>
      <c r="K639" s="78"/>
    </row>
    <row r="640" spans="1:11" s="22" customFormat="1" ht="24.95" customHeight="1" x14ac:dyDescent="0.25">
      <c r="A640" s="21"/>
      <c r="F640" s="1"/>
      <c r="G640" s="26"/>
      <c r="H640" s="18"/>
      <c r="I640" s="53"/>
      <c r="J640" s="30"/>
      <c r="K640" s="78"/>
    </row>
    <row r="641" spans="1:11" s="22" customFormat="1" ht="24.95" customHeight="1" x14ac:dyDescent="0.25">
      <c r="A641" s="21"/>
      <c r="F641" s="1"/>
      <c r="G641" s="26"/>
      <c r="H641" s="18"/>
      <c r="I641" s="53"/>
      <c r="J641" s="30"/>
      <c r="K641" s="78"/>
    </row>
    <row r="642" spans="1:11" s="22" customFormat="1" ht="24.95" customHeight="1" x14ac:dyDescent="0.25">
      <c r="A642" s="21"/>
      <c r="F642" s="1"/>
      <c r="G642" s="26"/>
      <c r="H642" s="18"/>
      <c r="I642" s="53"/>
      <c r="J642" s="30"/>
      <c r="K642" s="78"/>
    </row>
    <row r="643" spans="1:11" s="22" customFormat="1" ht="24.95" customHeight="1" x14ac:dyDescent="0.25">
      <c r="A643" s="21"/>
      <c r="F643" s="1"/>
      <c r="G643" s="26"/>
      <c r="H643" s="18"/>
      <c r="I643" s="53"/>
      <c r="J643" s="30"/>
      <c r="K643" s="78"/>
    </row>
    <row r="644" spans="1:11" s="22" customFormat="1" ht="24.95" customHeight="1" x14ac:dyDescent="0.25">
      <c r="A644" s="21"/>
      <c r="F644" s="1"/>
      <c r="G644" s="26"/>
      <c r="H644" s="18"/>
      <c r="I644" s="53"/>
      <c r="J644" s="30"/>
      <c r="K644" s="78"/>
    </row>
    <row r="645" spans="1:11" s="22" customFormat="1" ht="24.95" customHeight="1" x14ac:dyDescent="0.25">
      <c r="A645" s="21"/>
      <c r="F645" s="1"/>
      <c r="G645" s="26"/>
      <c r="H645" s="18"/>
      <c r="I645" s="53"/>
      <c r="J645" s="30"/>
      <c r="K645" s="78"/>
    </row>
    <row r="646" spans="1:11" s="22" customFormat="1" ht="24.95" customHeight="1" x14ac:dyDescent="0.25">
      <c r="A646" s="21"/>
      <c r="F646" s="1"/>
      <c r="G646" s="26"/>
      <c r="H646" s="18"/>
      <c r="I646" s="53"/>
      <c r="J646" s="30"/>
      <c r="K646" s="78"/>
    </row>
    <row r="647" spans="1:11" s="22" customFormat="1" ht="24.95" customHeight="1" x14ac:dyDescent="0.25">
      <c r="A647" s="21"/>
      <c r="F647" s="1"/>
      <c r="G647" s="26"/>
      <c r="H647" s="18"/>
      <c r="I647" s="53"/>
      <c r="J647" s="30"/>
      <c r="K647" s="78"/>
    </row>
    <row r="648" spans="1:11" s="22" customFormat="1" ht="24.95" customHeight="1" x14ac:dyDescent="0.25">
      <c r="A648" s="21"/>
      <c r="F648" s="1"/>
      <c r="G648" s="26"/>
      <c r="H648" s="18"/>
      <c r="I648" s="53"/>
      <c r="J648" s="30"/>
      <c r="K648" s="78"/>
    </row>
    <row r="649" spans="1:11" s="22" customFormat="1" ht="24.95" customHeight="1" x14ac:dyDescent="0.25">
      <c r="A649" s="21"/>
      <c r="F649" s="1"/>
      <c r="G649" s="26"/>
      <c r="H649" s="18"/>
      <c r="I649" s="53"/>
      <c r="J649" s="30"/>
      <c r="K649" s="78"/>
    </row>
    <row r="650" spans="1:11" s="22" customFormat="1" ht="24.95" customHeight="1" x14ac:dyDescent="0.25">
      <c r="A650" s="21"/>
      <c r="F650" s="1"/>
      <c r="G650" s="26"/>
      <c r="H650" s="18"/>
      <c r="I650" s="53"/>
      <c r="J650" s="30"/>
      <c r="K650" s="78"/>
    </row>
    <row r="651" spans="1:11" s="22" customFormat="1" ht="24.95" customHeight="1" x14ac:dyDescent="0.25">
      <c r="A651" s="21"/>
      <c r="F651" s="1"/>
      <c r="G651" s="26"/>
      <c r="H651" s="18"/>
      <c r="I651" s="53"/>
      <c r="J651" s="30"/>
      <c r="K651" s="78"/>
    </row>
    <row r="652" spans="1:11" s="22" customFormat="1" ht="24.95" customHeight="1" x14ac:dyDescent="0.25">
      <c r="A652" s="21"/>
      <c r="F652" s="1"/>
      <c r="G652" s="26"/>
      <c r="H652" s="18"/>
      <c r="I652" s="53"/>
      <c r="J652" s="30"/>
      <c r="K652" s="78"/>
    </row>
    <row r="653" spans="1:11" s="22" customFormat="1" ht="24.95" customHeight="1" x14ac:dyDescent="0.25">
      <c r="A653" s="21"/>
      <c r="F653" s="1"/>
      <c r="G653" s="26"/>
      <c r="H653" s="18"/>
      <c r="I653" s="53"/>
      <c r="J653" s="30"/>
      <c r="K653" s="78"/>
    </row>
    <row r="654" spans="1:11" s="22" customFormat="1" ht="24.95" customHeight="1" x14ac:dyDescent="0.25">
      <c r="A654" s="21"/>
      <c r="F654" s="1"/>
      <c r="G654" s="26"/>
      <c r="H654" s="18"/>
      <c r="I654" s="53"/>
      <c r="J654" s="30"/>
      <c r="K654" s="78"/>
    </row>
    <row r="655" spans="1:11" s="22" customFormat="1" ht="24.95" customHeight="1" x14ac:dyDescent="0.25">
      <c r="A655" s="21"/>
      <c r="F655" s="1"/>
      <c r="G655" s="26"/>
      <c r="H655" s="18"/>
      <c r="I655" s="53"/>
      <c r="J655" s="30"/>
      <c r="K655" s="78"/>
    </row>
    <row r="656" spans="1:11" s="22" customFormat="1" ht="24.95" customHeight="1" x14ac:dyDescent="0.25">
      <c r="A656" s="21"/>
      <c r="F656" s="1"/>
      <c r="G656" s="26"/>
      <c r="H656" s="18"/>
      <c r="I656" s="53"/>
      <c r="J656" s="30"/>
      <c r="K656" s="78"/>
    </row>
    <row r="657" spans="1:11" s="22" customFormat="1" ht="24.95" customHeight="1" x14ac:dyDescent="0.25">
      <c r="A657" s="21"/>
      <c r="F657" s="1"/>
      <c r="G657" s="26"/>
      <c r="H657" s="18"/>
      <c r="I657" s="53"/>
      <c r="J657" s="30"/>
      <c r="K657" s="78"/>
    </row>
    <row r="658" spans="1:11" s="22" customFormat="1" ht="24.95" customHeight="1" x14ac:dyDescent="0.25">
      <c r="A658" s="21"/>
      <c r="F658" s="1"/>
      <c r="G658" s="26"/>
      <c r="H658" s="18"/>
      <c r="I658" s="53"/>
      <c r="J658" s="30"/>
      <c r="K658" s="78"/>
    </row>
    <row r="659" spans="1:11" s="22" customFormat="1" ht="24.95" customHeight="1" x14ac:dyDescent="0.25">
      <c r="A659" s="21"/>
      <c r="F659" s="1"/>
      <c r="G659" s="26"/>
      <c r="H659" s="18"/>
      <c r="I659" s="53"/>
      <c r="J659" s="30"/>
      <c r="K659" s="78"/>
    </row>
    <row r="660" spans="1:11" s="22" customFormat="1" ht="24.95" customHeight="1" x14ac:dyDescent="0.25">
      <c r="A660" s="21"/>
      <c r="F660" s="1"/>
      <c r="G660" s="26"/>
      <c r="H660" s="18"/>
      <c r="I660" s="53"/>
      <c r="J660" s="30"/>
      <c r="K660" s="78"/>
    </row>
    <row r="661" spans="1:11" s="22" customFormat="1" ht="24.95" customHeight="1" x14ac:dyDescent="0.25">
      <c r="A661" s="21"/>
      <c r="F661" s="1"/>
      <c r="G661" s="26"/>
      <c r="H661" s="18"/>
      <c r="I661" s="53"/>
      <c r="J661" s="30"/>
      <c r="K661" s="78"/>
    </row>
    <row r="662" spans="1:11" s="22" customFormat="1" ht="24.95" customHeight="1" x14ac:dyDescent="0.25">
      <c r="A662" s="21"/>
      <c r="F662" s="1"/>
      <c r="G662" s="26"/>
      <c r="H662" s="18"/>
      <c r="I662" s="53"/>
      <c r="J662" s="30"/>
      <c r="K662" s="78"/>
    </row>
    <row r="663" spans="1:11" s="22" customFormat="1" ht="24.95" customHeight="1" x14ac:dyDescent="0.25">
      <c r="A663" s="21"/>
      <c r="F663" s="1"/>
      <c r="G663" s="26"/>
      <c r="H663" s="18"/>
      <c r="I663" s="53"/>
      <c r="J663" s="30"/>
      <c r="K663" s="78"/>
    </row>
    <row r="664" spans="1:11" s="22" customFormat="1" ht="24.95" customHeight="1" x14ac:dyDescent="0.25">
      <c r="A664" s="21"/>
      <c r="F664" s="1"/>
      <c r="G664" s="26"/>
      <c r="H664" s="18"/>
      <c r="I664" s="53"/>
      <c r="J664" s="30"/>
      <c r="K664" s="78"/>
    </row>
    <row r="665" spans="1:11" s="22" customFormat="1" ht="24.95" customHeight="1" x14ac:dyDescent="0.25">
      <c r="A665" s="21"/>
      <c r="F665" s="1"/>
      <c r="G665" s="26"/>
      <c r="H665" s="18"/>
      <c r="I665" s="53"/>
      <c r="J665" s="30"/>
      <c r="K665" s="78"/>
    </row>
    <row r="666" spans="1:11" s="22" customFormat="1" ht="24.95" customHeight="1" x14ac:dyDescent="0.25">
      <c r="A666" s="21"/>
      <c r="F666" s="1"/>
      <c r="G666" s="26"/>
      <c r="H666" s="18"/>
      <c r="I666" s="53"/>
      <c r="J666" s="30"/>
      <c r="K666" s="78"/>
    </row>
    <row r="667" spans="1:11" s="22" customFormat="1" ht="24.95" customHeight="1" x14ac:dyDescent="0.25">
      <c r="A667" s="21"/>
      <c r="F667" s="1"/>
      <c r="G667" s="26"/>
      <c r="H667" s="18"/>
      <c r="I667" s="53"/>
      <c r="J667" s="30"/>
      <c r="K667" s="78"/>
    </row>
    <row r="668" spans="1:11" s="22" customFormat="1" ht="24.95" customHeight="1" x14ac:dyDescent="0.25">
      <c r="A668" s="21"/>
      <c r="F668" s="1"/>
      <c r="G668" s="26"/>
      <c r="H668" s="18"/>
      <c r="I668" s="53"/>
      <c r="J668" s="30"/>
      <c r="K668" s="78"/>
    </row>
    <row r="669" spans="1:11" s="22" customFormat="1" ht="24.95" customHeight="1" x14ac:dyDescent="0.25">
      <c r="A669" s="21"/>
      <c r="F669" s="1"/>
      <c r="G669" s="26"/>
      <c r="H669" s="18"/>
      <c r="I669" s="53"/>
      <c r="J669" s="30"/>
      <c r="K669" s="78"/>
    </row>
    <row r="670" spans="1:11" s="22" customFormat="1" ht="24.95" customHeight="1" x14ac:dyDescent="0.25">
      <c r="A670" s="21"/>
      <c r="F670" s="1"/>
      <c r="G670" s="26"/>
      <c r="H670" s="18"/>
      <c r="I670" s="53"/>
      <c r="J670" s="30"/>
      <c r="K670" s="78"/>
    </row>
    <row r="671" spans="1:11" s="22" customFormat="1" ht="24.95" customHeight="1" x14ac:dyDescent="0.25">
      <c r="A671" s="21"/>
      <c r="F671" s="1"/>
      <c r="G671" s="26"/>
      <c r="H671" s="18"/>
      <c r="I671" s="53"/>
      <c r="J671" s="30"/>
      <c r="K671" s="78"/>
    </row>
    <row r="672" spans="1:11" s="22" customFormat="1" ht="24.95" customHeight="1" x14ac:dyDescent="0.25">
      <c r="A672" s="21"/>
      <c r="F672" s="1"/>
      <c r="G672" s="26"/>
      <c r="H672" s="18"/>
      <c r="I672" s="53"/>
      <c r="J672" s="30"/>
      <c r="K672" s="78"/>
    </row>
    <row r="673" spans="1:11" s="22" customFormat="1" ht="24.95" customHeight="1" x14ac:dyDescent="0.25">
      <c r="A673" s="21"/>
      <c r="F673" s="1"/>
      <c r="G673" s="26"/>
      <c r="H673" s="18"/>
      <c r="I673" s="53"/>
      <c r="J673" s="30"/>
      <c r="K673" s="78"/>
    </row>
    <row r="674" spans="1:11" s="22" customFormat="1" ht="24.95" customHeight="1" x14ac:dyDescent="0.25">
      <c r="A674" s="21"/>
      <c r="F674" s="1"/>
      <c r="G674" s="26"/>
      <c r="H674" s="18"/>
      <c r="I674" s="53"/>
      <c r="J674" s="30"/>
      <c r="K674" s="78"/>
    </row>
    <row r="675" spans="1:11" s="22" customFormat="1" ht="24.95" customHeight="1" x14ac:dyDescent="0.25">
      <c r="A675" s="21"/>
      <c r="F675" s="1"/>
      <c r="G675" s="26"/>
      <c r="H675" s="18"/>
      <c r="I675" s="53"/>
      <c r="J675" s="30"/>
      <c r="K675" s="78"/>
    </row>
    <row r="676" spans="1:11" s="22" customFormat="1" ht="24.95" customHeight="1" x14ac:dyDescent="0.25">
      <c r="A676" s="21"/>
      <c r="F676" s="1"/>
      <c r="G676" s="26"/>
      <c r="H676" s="18"/>
      <c r="I676" s="53"/>
      <c r="J676" s="30"/>
      <c r="K676" s="78"/>
    </row>
    <row r="677" spans="1:11" s="22" customFormat="1" ht="24.95" customHeight="1" x14ac:dyDescent="0.25">
      <c r="A677" s="21"/>
      <c r="F677" s="1"/>
      <c r="G677" s="26"/>
      <c r="H677" s="18"/>
      <c r="I677" s="53"/>
      <c r="J677" s="30"/>
      <c r="K677" s="78"/>
    </row>
    <row r="678" spans="1:11" s="22" customFormat="1" ht="24.95" customHeight="1" x14ac:dyDescent="0.25">
      <c r="A678" s="21"/>
      <c r="F678" s="1"/>
      <c r="G678" s="26"/>
      <c r="H678" s="18"/>
      <c r="I678" s="53"/>
      <c r="J678" s="30"/>
      <c r="K678" s="78"/>
    </row>
    <row r="679" spans="1:11" s="22" customFormat="1" ht="24.95" customHeight="1" x14ac:dyDescent="0.25">
      <c r="A679" s="21"/>
      <c r="F679" s="1"/>
      <c r="G679" s="26"/>
      <c r="H679" s="18"/>
      <c r="I679" s="53"/>
      <c r="J679" s="30"/>
      <c r="K679" s="78"/>
    </row>
    <row r="680" spans="1:11" s="22" customFormat="1" ht="24.95" customHeight="1" x14ac:dyDescent="0.25">
      <c r="A680" s="21"/>
      <c r="F680" s="1"/>
      <c r="G680" s="26"/>
      <c r="H680" s="18"/>
      <c r="I680" s="53"/>
      <c r="J680" s="30"/>
      <c r="K680" s="78"/>
    </row>
    <row r="681" spans="1:11" s="22" customFormat="1" ht="24.95" customHeight="1" x14ac:dyDescent="0.25">
      <c r="A681" s="21"/>
      <c r="F681" s="1"/>
      <c r="G681" s="26"/>
      <c r="H681" s="18"/>
      <c r="I681" s="53"/>
      <c r="J681" s="30"/>
      <c r="K681" s="78"/>
    </row>
    <row r="682" spans="1:11" s="22" customFormat="1" ht="24.95" customHeight="1" x14ac:dyDescent="0.25">
      <c r="A682" s="21"/>
      <c r="F682" s="1"/>
      <c r="G682" s="26"/>
      <c r="H682" s="18"/>
      <c r="I682" s="53"/>
      <c r="J682" s="30"/>
      <c r="K682" s="78"/>
    </row>
    <row r="683" spans="1:11" s="22" customFormat="1" ht="24.95" customHeight="1" x14ac:dyDescent="0.25">
      <c r="A683" s="21"/>
      <c r="F683" s="1"/>
      <c r="G683" s="26"/>
      <c r="H683" s="18"/>
      <c r="I683" s="53"/>
      <c r="J683" s="30"/>
      <c r="K683" s="78"/>
    </row>
    <row r="684" spans="1:11" s="22" customFormat="1" ht="24.95" customHeight="1" x14ac:dyDescent="0.25">
      <c r="A684" s="21"/>
      <c r="F684" s="1"/>
      <c r="G684" s="26"/>
      <c r="H684" s="18"/>
      <c r="I684" s="53"/>
      <c r="J684" s="30"/>
      <c r="K684" s="78"/>
    </row>
    <row r="685" spans="1:11" s="22" customFormat="1" ht="24.95" customHeight="1" x14ac:dyDescent="0.25">
      <c r="A685" s="21"/>
      <c r="F685" s="1"/>
      <c r="G685" s="26"/>
      <c r="H685" s="18"/>
      <c r="I685" s="53"/>
      <c r="J685" s="30"/>
      <c r="K685" s="78"/>
    </row>
    <row r="686" spans="1:11" s="22" customFormat="1" ht="24.95" customHeight="1" x14ac:dyDescent="0.25">
      <c r="A686" s="21"/>
      <c r="F686" s="1"/>
      <c r="G686" s="26"/>
      <c r="H686" s="18"/>
      <c r="I686" s="53"/>
      <c r="J686" s="30"/>
      <c r="K686" s="78"/>
    </row>
    <row r="687" spans="1:11" s="22" customFormat="1" ht="24.95" customHeight="1" x14ac:dyDescent="0.25">
      <c r="A687" s="21"/>
      <c r="F687" s="1"/>
      <c r="G687" s="26"/>
      <c r="H687" s="18"/>
      <c r="I687" s="53"/>
      <c r="J687" s="30"/>
      <c r="K687" s="78"/>
    </row>
    <row r="688" spans="1:11" s="22" customFormat="1" ht="24.95" customHeight="1" x14ac:dyDescent="0.25">
      <c r="A688" s="21"/>
      <c r="F688" s="1"/>
      <c r="G688" s="26"/>
      <c r="H688" s="18"/>
      <c r="I688" s="53"/>
      <c r="J688" s="30"/>
      <c r="K688" s="78"/>
    </row>
    <row r="689" spans="1:11" s="22" customFormat="1" ht="24.95" customHeight="1" x14ac:dyDescent="0.25">
      <c r="A689" s="21"/>
      <c r="F689" s="1"/>
      <c r="G689" s="26"/>
      <c r="H689" s="18"/>
      <c r="I689" s="53"/>
      <c r="J689" s="30"/>
      <c r="K689" s="78"/>
    </row>
    <row r="690" spans="1:11" s="22" customFormat="1" ht="24.95" customHeight="1" x14ac:dyDescent="0.25">
      <c r="A690" s="21"/>
      <c r="F690" s="1"/>
      <c r="G690" s="26"/>
      <c r="H690" s="18"/>
      <c r="I690" s="53"/>
      <c r="J690" s="30"/>
      <c r="K690" s="78"/>
    </row>
    <row r="691" spans="1:11" s="22" customFormat="1" ht="24.95" customHeight="1" x14ac:dyDescent="0.25">
      <c r="A691" s="21"/>
      <c r="F691" s="1"/>
      <c r="G691" s="26"/>
      <c r="H691" s="18"/>
      <c r="I691" s="53"/>
      <c r="J691" s="30"/>
      <c r="K691" s="78"/>
    </row>
    <row r="692" spans="1:11" s="22" customFormat="1" ht="24.95" customHeight="1" x14ac:dyDescent="0.25">
      <c r="A692" s="21"/>
      <c r="F692" s="1"/>
      <c r="G692" s="26"/>
      <c r="H692" s="18"/>
      <c r="I692" s="53"/>
      <c r="J692" s="30"/>
      <c r="K692" s="78"/>
    </row>
    <row r="693" spans="1:11" s="22" customFormat="1" ht="24.95" customHeight="1" x14ac:dyDescent="0.25">
      <c r="A693" s="21"/>
      <c r="F693" s="1"/>
      <c r="G693" s="26"/>
      <c r="H693" s="18"/>
      <c r="I693" s="53"/>
      <c r="J693" s="30"/>
      <c r="K693" s="78"/>
    </row>
    <row r="694" spans="1:11" s="22" customFormat="1" ht="24.95" customHeight="1" x14ac:dyDescent="0.25">
      <c r="A694" s="21"/>
      <c r="F694" s="1"/>
      <c r="G694" s="26"/>
      <c r="H694" s="18"/>
      <c r="I694" s="53"/>
      <c r="J694" s="30"/>
      <c r="K694" s="78"/>
    </row>
    <row r="695" spans="1:11" s="22" customFormat="1" ht="24.95" customHeight="1" x14ac:dyDescent="0.25">
      <c r="A695" s="21"/>
      <c r="F695" s="1"/>
      <c r="G695" s="26"/>
      <c r="H695" s="18"/>
      <c r="I695" s="53"/>
      <c r="J695" s="30"/>
      <c r="K695" s="78"/>
    </row>
    <row r="696" spans="1:11" s="22" customFormat="1" ht="24.95" customHeight="1" x14ac:dyDescent="0.25">
      <c r="A696" s="21"/>
      <c r="F696" s="1"/>
      <c r="G696" s="26"/>
      <c r="H696" s="18"/>
      <c r="I696" s="53"/>
      <c r="J696" s="30"/>
      <c r="K696" s="78"/>
    </row>
    <row r="697" spans="1:11" s="22" customFormat="1" ht="24.95" customHeight="1" x14ac:dyDescent="0.25">
      <c r="A697" s="21"/>
      <c r="F697" s="1"/>
      <c r="G697" s="26"/>
      <c r="H697" s="18"/>
      <c r="I697" s="53"/>
      <c r="J697" s="30"/>
      <c r="K697" s="78"/>
    </row>
    <row r="698" spans="1:11" s="22" customFormat="1" ht="24.95" customHeight="1" x14ac:dyDescent="0.25">
      <c r="A698" s="21"/>
      <c r="F698" s="1"/>
      <c r="G698" s="26"/>
      <c r="H698" s="18"/>
      <c r="I698" s="53"/>
      <c r="J698" s="30"/>
      <c r="K698" s="78"/>
    </row>
    <row r="699" spans="1:11" s="22" customFormat="1" ht="24.95" customHeight="1" x14ac:dyDescent="0.25">
      <c r="A699" s="21"/>
      <c r="F699" s="1"/>
      <c r="G699" s="26"/>
      <c r="H699" s="18"/>
      <c r="I699" s="53"/>
      <c r="J699" s="30"/>
      <c r="K699" s="78"/>
    </row>
    <row r="700" spans="1:11" s="22" customFormat="1" ht="24.95" customHeight="1" x14ac:dyDescent="0.25">
      <c r="A700" s="21"/>
      <c r="F700" s="1"/>
      <c r="G700" s="26"/>
      <c r="H700" s="18"/>
      <c r="I700" s="53"/>
      <c r="J700" s="30"/>
      <c r="K700" s="78"/>
    </row>
    <row r="701" spans="1:11" s="22" customFormat="1" ht="24.95" customHeight="1" x14ac:dyDescent="0.25">
      <c r="A701" s="21"/>
      <c r="F701" s="1"/>
      <c r="G701" s="26"/>
      <c r="H701" s="18"/>
      <c r="I701" s="53"/>
      <c r="J701" s="30"/>
      <c r="K701" s="78"/>
    </row>
    <row r="702" spans="1:11" s="22" customFormat="1" ht="24.95" customHeight="1" x14ac:dyDescent="0.25">
      <c r="A702" s="21"/>
      <c r="F702" s="1"/>
      <c r="G702" s="26"/>
      <c r="H702" s="18"/>
      <c r="I702" s="53"/>
      <c r="J702" s="30"/>
      <c r="K702" s="78"/>
    </row>
    <row r="703" spans="1:11" s="22" customFormat="1" ht="24.95" customHeight="1" x14ac:dyDescent="0.25">
      <c r="A703" s="21"/>
      <c r="F703" s="1"/>
      <c r="G703" s="26"/>
      <c r="H703" s="18"/>
      <c r="I703" s="53"/>
      <c r="J703" s="30"/>
      <c r="K703" s="78"/>
    </row>
    <row r="704" spans="1:11" s="22" customFormat="1" ht="24.95" customHeight="1" x14ac:dyDescent="0.25">
      <c r="A704" s="21"/>
      <c r="F704" s="1"/>
      <c r="G704" s="26"/>
      <c r="H704" s="18"/>
      <c r="I704" s="53"/>
      <c r="J704" s="30"/>
      <c r="K704" s="78"/>
    </row>
    <row r="705" spans="1:11" s="22" customFormat="1" ht="24.95" customHeight="1" x14ac:dyDescent="0.25">
      <c r="A705" s="21"/>
      <c r="F705" s="1"/>
      <c r="G705" s="26"/>
      <c r="H705" s="18"/>
      <c r="I705" s="53"/>
      <c r="J705" s="30"/>
      <c r="K705" s="78"/>
    </row>
    <row r="706" spans="1:11" s="22" customFormat="1" ht="24.95" customHeight="1" x14ac:dyDescent="0.25">
      <c r="A706" s="21"/>
      <c r="F706" s="1"/>
      <c r="G706" s="26"/>
      <c r="H706" s="18"/>
      <c r="I706" s="53"/>
      <c r="J706" s="30"/>
      <c r="K706" s="78"/>
    </row>
    <row r="707" spans="1:11" s="22" customFormat="1" ht="24.95" customHeight="1" x14ac:dyDescent="0.25">
      <c r="A707" s="21"/>
      <c r="F707" s="1"/>
      <c r="G707" s="26"/>
      <c r="H707" s="18"/>
      <c r="I707" s="53"/>
      <c r="J707" s="30"/>
      <c r="K707" s="78"/>
    </row>
    <row r="708" spans="1:11" s="22" customFormat="1" ht="24.95" customHeight="1" x14ac:dyDescent="0.25">
      <c r="A708" s="21"/>
      <c r="F708" s="1"/>
      <c r="G708" s="26"/>
      <c r="H708" s="18"/>
      <c r="I708" s="53"/>
      <c r="J708" s="30"/>
      <c r="K708" s="78"/>
    </row>
    <row r="709" spans="1:11" s="22" customFormat="1" ht="24.95" customHeight="1" x14ac:dyDescent="0.25">
      <c r="A709" s="21"/>
      <c r="F709" s="1"/>
      <c r="G709" s="26"/>
      <c r="H709" s="18"/>
      <c r="I709" s="53"/>
      <c r="J709" s="30"/>
      <c r="K709" s="78"/>
    </row>
    <row r="710" spans="1:11" s="22" customFormat="1" ht="24.95" customHeight="1" x14ac:dyDescent="0.25">
      <c r="A710" s="21"/>
      <c r="F710" s="1"/>
      <c r="G710" s="26"/>
      <c r="H710" s="18"/>
      <c r="I710" s="53"/>
      <c r="J710" s="30"/>
      <c r="K710" s="78"/>
    </row>
    <row r="711" spans="1:11" s="22" customFormat="1" ht="24.95" customHeight="1" x14ac:dyDescent="0.25">
      <c r="A711" s="21"/>
      <c r="F711" s="1"/>
      <c r="G711" s="26"/>
      <c r="H711" s="18"/>
      <c r="I711" s="53"/>
      <c r="J711" s="30"/>
      <c r="K711" s="78"/>
    </row>
    <row r="712" spans="1:11" s="22" customFormat="1" ht="24.95" customHeight="1" x14ac:dyDescent="0.25">
      <c r="A712" s="21"/>
      <c r="F712" s="1"/>
      <c r="G712" s="26"/>
      <c r="H712" s="18"/>
      <c r="I712" s="53"/>
      <c r="J712" s="30"/>
      <c r="K712" s="78"/>
    </row>
    <row r="713" spans="1:11" s="22" customFormat="1" ht="24.95" customHeight="1" x14ac:dyDescent="0.25">
      <c r="A713" s="21"/>
      <c r="F713" s="1"/>
      <c r="G713" s="26"/>
      <c r="H713" s="18"/>
      <c r="I713" s="53"/>
      <c r="J713" s="30"/>
      <c r="K713" s="78"/>
    </row>
    <row r="714" spans="1:11" s="22" customFormat="1" ht="24.95" customHeight="1" x14ac:dyDescent="0.25">
      <c r="A714" s="21"/>
      <c r="F714" s="1"/>
      <c r="G714" s="26"/>
      <c r="H714" s="18"/>
      <c r="I714" s="53"/>
      <c r="J714" s="30"/>
      <c r="K714" s="78"/>
    </row>
    <row r="715" spans="1:11" s="22" customFormat="1" ht="24.95" customHeight="1" x14ac:dyDescent="0.25">
      <c r="A715" s="21"/>
      <c r="F715" s="1"/>
      <c r="G715" s="26"/>
      <c r="H715" s="18"/>
      <c r="I715" s="53"/>
      <c r="J715" s="30"/>
      <c r="K715" s="78"/>
    </row>
    <row r="716" spans="1:11" s="22" customFormat="1" ht="24.95" customHeight="1" x14ac:dyDescent="0.25">
      <c r="A716" s="21"/>
      <c r="F716" s="1"/>
      <c r="G716" s="26"/>
      <c r="H716" s="18"/>
      <c r="I716" s="53"/>
      <c r="J716" s="30"/>
      <c r="K716" s="78"/>
    </row>
    <row r="717" spans="1:11" s="22" customFormat="1" ht="24.95" customHeight="1" x14ac:dyDescent="0.25">
      <c r="A717" s="21"/>
      <c r="F717" s="1"/>
      <c r="G717" s="26"/>
      <c r="H717" s="18"/>
      <c r="I717" s="53"/>
      <c r="J717" s="30"/>
      <c r="K717" s="78"/>
    </row>
    <row r="718" spans="1:11" s="22" customFormat="1" ht="24.95" customHeight="1" x14ac:dyDescent="0.25">
      <c r="A718" s="21"/>
      <c r="F718" s="1"/>
      <c r="G718" s="26"/>
      <c r="H718" s="18"/>
      <c r="I718" s="53"/>
      <c r="J718" s="30"/>
      <c r="K718" s="78"/>
    </row>
    <row r="719" spans="1:11" s="22" customFormat="1" ht="24.95" customHeight="1" x14ac:dyDescent="0.25">
      <c r="A719" s="21"/>
      <c r="F719" s="1"/>
      <c r="G719" s="26"/>
      <c r="H719" s="18"/>
      <c r="I719" s="53"/>
      <c r="J719" s="30"/>
      <c r="K719" s="78"/>
    </row>
    <row r="720" spans="1:11" s="22" customFormat="1" ht="24.95" customHeight="1" x14ac:dyDescent="0.25">
      <c r="A720" s="21"/>
      <c r="F720" s="1"/>
      <c r="G720" s="26"/>
      <c r="H720" s="18"/>
      <c r="I720" s="53"/>
      <c r="J720" s="30"/>
      <c r="K720" s="78"/>
    </row>
    <row r="721" spans="1:11" s="22" customFormat="1" ht="24.95" customHeight="1" x14ac:dyDescent="0.25">
      <c r="A721" s="21"/>
      <c r="F721" s="1"/>
      <c r="G721" s="26"/>
      <c r="H721" s="18"/>
      <c r="I721" s="53"/>
      <c r="J721" s="30"/>
      <c r="K721" s="78"/>
    </row>
    <row r="722" spans="1:11" s="22" customFormat="1" ht="24.95" customHeight="1" x14ac:dyDescent="0.25">
      <c r="A722" s="21"/>
      <c r="F722" s="1"/>
      <c r="G722" s="26"/>
      <c r="H722" s="18"/>
      <c r="I722" s="53"/>
      <c r="J722" s="30"/>
      <c r="K722" s="78"/>
    </row>
    <row r="723" spans="1:11" s="22" customFormat="1" ht="24.95" customHeight="1" x14ac:dyDescent="0.25">
      <c r="A723" s="21"/>
      <c r="F723" s="1"/>
      <c r="G723" s="26"/>
      <c r="H723" s="18"/>
      <c r="I723" s="53"/>
      <c r="J723" s="30"/>
      <c r="K723" s="78"/>
    </row>
    <row r="724" spans="1:11" s="22" customFormat="1" ht="24.95" customHeight="1" x14ac:dyDescent="0.25">
      <c r="A724" s="21"/>
      <c r="F724" s="1"/>
      <c r="G724" s="26"/>
      <c r="H724" s="18"/>
      <c r="I724" s="53"/>
      <c r="J724" s="30"/>
      <c r="K724" s="78"/>
    </row>
    <row r="725" spans="1:11" s="22" customFormat="1" ht="24.95" customHeight="1" x14ac:dyDescent="0.25">
      <c r="A725" s="21"/>
      <c r="F725" s="1"/>
      <c r="G725" s="26"/>
      <c r="H725" s="18"/>
      <c r="I725" s="53"/>
      <c r="J725" s="30"/>
      <c r="K725" s="78"/>
    </row>
    <row r="726" spans="1:11" s="22" customFormat="1" ht="24.95" customHeight="1" x14ac:dyDescent="0.25">
      <c r="A726" s="21"/>
      <c r="F726" s="1"/>
      <c r="G726" s="26"/>
      <c r="H726" s="18"/>
      <c r="I726" s="53"/>
      <c r="J726" s="30"/>
      <c r="K726" s="78"/>
    </row>
    <row r="727" spans="1:11" s="22" customFormat="1" ht="24.95" customHeight="1" x14ac:dyDescent="0.25">
      <c r="A727" s="21"/>
      <c r="F727" s="1"/>
      <c r="G727" s="26"/>
      <c r="H727" s="18"/>
      <c r="I727" s="53"/>
      <c r="J727" s="30"/>
      <c r="K727" s="78"/>
    </row>
    <row r="728" spans="1:11" s="22" customFormat="1" ht="24.95" customHeight="1" x14ac:dyDescent="0.25">
      <c r="A728" s="21"/>
      <c r="F728" s="1"/>
      <c r="G728" s="26"/>
      <c r="H728" s="18"/>
      <c r="I728" s="53"/>
      <c r="J728" s="30"/>
      <c r="K728" s="78"/>
    </row>
    <row r="729" spans="1:11" s="22" customFormat="1" ht="24.95" customHeight="1" x14ac:dyDescent="0.25">
      <c r="A729" s="21"/>
      <c r="F729" s="1"/>
      <c r="G729" s="26"/>
      <c r="H729" s="18"/>
      <c r="I729" s="53"/>
      <c r="J729" s="30"/>
      <c r="K729" s="78"/>
    </row>
    <row r="730" spans="1:11" s="22" customFormat="1" ht="24.95" customHeight="1" x14ac:dyDescent="0.25">
      <c r="A730" s="21"/>
      <c r="F730" s="1"/>
      <c r="G730" s="26"/>
      <c r="H730" s="18"/>
      <c r="I730" s="53"/>
      <c r="J730" s="30"/>
      <c r="K730" s="78"/>
    </row>
    <row r="731" spans="1:11" s="22" customFormat="1" ht="24.95" customHeight="1" x14ac:dyDescent="0.25">
      <c r="A731" s="21"/>
      <c r="F731" s="1"/>
      <c r="G731" s="26"/>
      <c r="H731" s="18"/>
      <c r="I731" s="53"/>
      <c r="J731" s="30"/>
      <c r="K731" s="78"/>
    </row>
    <row r="732" spans="1:11" s="22" customFormat="1" ht="24.95" customHeight="1" x14ac:dyDescent="0.25">
      <c r="A732" s="21"/>
      <c r="F732" s="1"/>
      <c r="G732" s="26"/>
      <c r="H732" s="18"/>
      <c r="I732" s="53"/>
      <c r="J732" s="30"/>
      <c r="K732" s="78"/>
    </row>
    <row r="733" spans="1:11" s="22" customFormat="1" ht="24.95" customHeight="1" x14ac:dyDescent="0.25">
      <c r="A733" s="21"/>
      <c r="F733" s="1"/>
      <c r="G733" s="26"/>
      <c r="H733" s="18"/>
      <c r="I733" s="53"/>
      <c r="J733" s="30"/>
      <c r="K733" s="78"/>
    </row>
    <row r="734" spans="1:11" s="22" customFormat="1" ht="24.95" customHeight="1" x14ac:dyDescent="0.25">
      <c r="A734" s="21"/>
      <c r="F734" s="1"/>
      <c r="G734" s="26"/>
      <c r="H734" s="18"/>
      <c r="I734" s="53"/>
      <c r="J734" s="30"/>
      <c r="K734" s="78"/>
    </row>
    <row r="735" spans="1:11" s="22" customFormat="1" ht="24.95" customHeight="1" x14ac:dyDescent="0.25">
      <c r="A735" s="21"/>
      <c r="F735" s="1"/>
      <c r="G735" s="26"/>
      <c r="H735" s="18"/>
      <c r="I735" s="53"/>
      <c r="J735" s="30"/>
      <c r="K735" s="78"/>
    </row>
    <row r="736" spans="1:11" s="22" customFormat="1" ht="24.95" customHeight="1" x14ac:dyDescent="0.25">
      <c r="A736" s="21"/>
      <c r="F736" s="1"/>
      <c r="G736" s="26"/>
      <c r="H736" s="18"/>
      <c r="I736" s="53"/>
      <c r="J736" s="30"/>
      <c r="K736" s="78"/>
    </row>
    <row r="737" spans="1:11" s="22" customFormat="1" ht="24.95" customHeight="1" x14ac:dyDescent="0.25">
      <c r="A737" s="21"/>
      <c r="F737" s="1"/>
      <c r="G737" s="26"/>
      <c r="H737" s="18"/>
      <c r="I737" s="53"/>
      <c r="J737" s="30"/>
      <c r="K737" s="78"/>
    </row>
    <row r="738" spans="1:11" s="22" customFormat="1" ht="24.95" customHeight="1" x14ac:dyDescent="0.25">
      <c r="A738" s="21"/>
      <c r="F738" s="1"/>
      <c r="G738" s="26"/>
      <c r="H738" s="18"/>
      <c r="I738" s="53"/>
      <c r="J738" s="30"/>
      <c r="K738" s="78"/>
    </row>
    <row r="739" spans="1:11" s="22" customFormat="1" ht="24.95" customHeight="1" x14ac:dyDescent="0.25">
      <c r="A739" s="21"/>
      <c r="F739" s="1"/>
      <c r="G739" s="26"/>
      <c r="H739" s="18"/>
      <c r="I739" s="53"/>
      <c r="J739" s="30"/>
      <c r="K739" s="78"/>
    </row>
    <row r="740" spans="1:11" s="22" customFormat="1" ht="24.95" customHeight="1" x14ac:dyDescent="0.25">
      <c r="A740" s="21"/>
      <c r="F740" s="1"/>
      <c r="G740" s="26"/>
      <c r="H740" s="18"/>
      <c r="I740" s="53"/>
      <c r="J740" s="30"/>
      <c r="K740" s="78"/>
    </row>
    <row r="741" spans="1:11" s="22" customFormat="1" ht="24.95" customHeight="1" x14ac:dyDescent="0.25">
      <c r="A741" s="21"/>
      <c r="F741" s="1"/>
      <c r="G741" s="26"/>
      <c r="H741" s="18"/>
      <c r="I741" s="53"/>
      <c r="J741" s="30"/>
      <c r="K741" s="78"/>
    </row>
    <row r="742" spans="1:11" s="22" customFormat="1" ht="24.95" customHeight="1" x14ac:dyDescent="0.25">
      <c r="A742" s="21"/>
      <c r="F742" s="1"/>
      <c r="G742" s="26"/>
      <c r="H742" s="18"/>
      <c r="I742" s="53"/>
      <c r="J742" s="30"/>
      <c r="K742" s="78"/>
    </row>
    <row r="743" spans="1:11" s="22" customFormat="1" ht="24.95" customHeight="1" x14ac:dyDescent="0.25">
      <c r="A743" s="21"/>
      <c r="F743" s="1"/>
      <c r="G743" s="26"/>
      <c r="H743" s="18"/>
      <c r="I743" s="53"/>
      <c r="J743" s="30"/>
      <c r="K743" s="78"/>
    </row>
    <row r="744" spans="1:11" s="22" customFormat="1" ht="24.95" customHeight="1" x14ac:dyDescent="0.25">
      <c r="A744" s="21"/>
      <c r="F744" s="1"/>
      <c r="G744" s="26"/>
      <c r="H744" s="18"/>
      <c r="I744" s="53"/>
      <c r="J744" s="30"/>
      <c r="K744" s="78"/>
    </row>
    <row r="745" spans="1:11" s="22" customFormat="1" ht="24.95" customHeight="1" x14ac:dyDescent="0.25">
      <c r="A745" s="21"/>
      <c r="F745" s="1"/>
      <c r="G745" s="26"/>
      <c r="H745" s="18"/>
      <c r="I745" s="53"/>
      <c r="J745" s="30"/>
      <c r="K745" s="78"/>
    </row>
    <row r="746" spans="1:11" s="22" customFormat="1" ht="24.95" customHeight="1" x14ac:dyDescent="0.25">
      <c r="A746" s="21"/>
      <c r="F746" s="1"/>
      <c r="G746" s="26"/>
      <c r="H746" s="18"/>
      <c r="I746" s="53"/>
      <c r="J746" s="30"/>
      <c r="K746" s="78"/>
    </row>
    <row r="747" spans="1:11" s="22" customFormat="1" ht="24.95" customHeight="1" x14ac:dyDescent="0.25">
      <c r="A747" s="21"/>
      <c r="F747" s="1"/>
      <c r="G747" s="26"/>
      <c r="H747" s="18"/>
      <c r="I747" s="53"/>
      <c r="J747" s="30"/>
      <c r="K747" s="78"/>
    </row>
    <row r="748" spans="1:11" s="22" customFormat="1" ht="24.95" customHeight="1" x14ac:dyDescent="0.25">
      <c r="A748" s="21"/>
      <c r="F748" s="1"/>
      <c r="G748" s="26"/>
      <c r="H748" s="18"/>
      <c r="I748" s="53"/>
      <c r="J748" s="30"/>
      <c r="K748" s="78"/>
    </row>
    <row r="749" spans="1:11" s="22" customFormat="1" ht="24.95" customHeight="1" x14ac:dyDescent="0.25">
      <c r="A749" s="21"/>
      <c r="F749" s="1"/>
      <c r="G749" s="26"/>
      <c r="H749" s="18"/>
      <c r="I749" s="53"/>
      <c r="J749" s="30"/>
      <c r="K749" s="78"/>
    </row>
    <row r="750" spans="1:11" s="22" customFormat="1" ht="24.95" customHeight="1" x14ac:dyDescent="0.25">
      <c r="A750" s="21"/>
      <c r="F750" s="1"/>
      <c r="G750" s="26"/>
      <c r="H750" s="18"/>
      <c r="I750" s="53"/>
      <c r="J750" s="30"/>
      <c r="K750" s="78"/>
    </row>
    <row r="751" spans="1:11" s="22" customFormat="1" ht="24.95" customHeight="1" x14ac:dyDescent="0.25">
      <c r="A751" s="21"/>
      <c r="F751" s="1"/>
      <c r="G751" s="26"/>
      <c r="H751" s="18"/>
      <c r="I751" s="53"/>
      <c r="J751" s="30"/>
      <c r="K751" s="78"/>
    </row>
    <row r="752" spans="1:11" s="22" customFormat="1" ht="24.95" customHeight="1" x14ac:dyDescent="0.25">
      <c r="A752" s="21"/>
      <c r="F752" s="1"/>
      <c r="G752" s="26"/>
      <c r="H752" s="18"/>
      <c r="I752" s="53"/>
      <c r="J752" s="30"/>
      <c r="K752" s="78"/>
    </row>
    <row r="753" spans="1:11" s="22" customFormat="1" ht="24.95" customHeight="1" x14ac:dyDescent="0.25">
      <c r="A753" s="21"/>
      <c r="F753" s="1"/>
      <c r="G753" s="26"/>
      <c r="H753" s="18"/>
      <c r="I753" s="53"/>
      <c r="J753" s="30"/>
      <c r="K753" s="78"/>
    </row>
    <row r="754" spans="1:11" s="22" customFormat="1" ht="24.95" customHeight="1" x14ac:dyDescent="0.25">
      <c r="A754" s="21"/>
      <c r="F754" s="1"/>
      <c r="G754" s="26"/>
      <c r="H754" s="18"/>
      <c r="I754" s="53"/>
      <c r="J754" s="30"/>
      <c r="K754" s="78"/>
    </row>
    <row r="755" spans="1:11" s="22" customFormat="1" ht="24.95" customHeight="1" x14ac:dyDescent="0.25">
      <c r="A755" s="21"/>
      <c r="F755" s="1"/>
      <c r="G755" s="26"/>
      <c r="H755" s="18"/>
      <c r="I755" s="53"/>
      <c r="J755" s="30"/>
      <c r="K755" s="78"/>
    </row>
    <row r="756" spans="1:11" s="22" customFormat="1" ht="24.95" customHeight="1" x14ac:dyDescent="0.25">
      <c r="A756" s="21"/>
      <c r="F756" s="1"/>
      <c r="G756" s="26"/>
      <c r="H756" s="18"/>
      <c r="I756" s="53"/>
      <c r="J756" s="30"/>
      <c r="K756" s="78"/>
    </row>
    <row r="757" spans="1:11" s="22" customFormat="1" ht="24.95" customHeight="1" x14ac:dyDescent="0.25">
      <c r="A757" s="21"/>
      <c r="F757" s="1"/>
      <c r="G757" s="26"/>
      <c r="H757" s="18"/>
      <c r="I757" s="53"/>
      <c r="J757" s="30"/>
      <c r="K757" s="78"/>
    </row>
    <row r="758" spans="1:11" s="22" customFormat="1" ht="24.95" customHeight="1" x14ac:dyDescent="0.25">
      <c r="A758" s="21"/>
      <c r="F758" s="1"/>
      <c r="G758" s="26"/>
      <c r="H758" s="18"/>
      <c r="I758" s="53"/>
      <c r="J758" s="30"/>
      <c r="K758" s="78"/>
    </row>
    <row r="759" spans="1:11" s="22" customFormat="1" ht="24.95" customHeight="1" x14ac:dyDescent="0.25">
      <c r="A759" s="21"/>
      <c r="F759" s="1"/>
      <c r="G759" s="26"/>
      <c r="H759" s="18"/>
      <c r="I759" s="53"/>
      <c r="J759" s="30"/>
      <c r="K759" s="78"/>
    </row>
    <row r="760" spans="1:11" s="22" customFormat="1" ht="24.95" customHeight="1" x14ac:dyDescent="0.25">
      <c r="A760" s="21"/>
      <c r="F760" s="1"/>
      <c r="G760" s="26"/>
      <c r="H760" s="18"/>
      <c r="I760" s="53"/>
      <c r="J760" s="30"/>
      <c r="K760" s="78"/>
    </row>
    <row r="761" spans="1:11" s="22" customFormat="1" ht="24.95" customHeight="1" x14ac:dyDescent="0.25">
      <c r="A761" s="21"/>
      <c r="F761" s="1"/>
      <c r="G761" s="26"/>
      <c r="H761" s="18"/>
      <c r="I761" s="53"/>
      <c r="J761" s="30"/>
      <c r="K761" s="78"/>
    </row>
    <row r="762" spans="1:11" s="22" customFormat="1" ht="24.95" customHeight="1" x14ac:dyDescent="0.25">
      <c r="A762" s="21"/>
      <c r="F762" s="1"/>
      <c r="G762" s="26"/>
      <c r="H762" s="18"/>
      <c r="I762" s="53"/>
      <c r="J762" s="30"/>
      <c r="K762" s="78"/>
    </row>
    <row r="763" spans="1:11" s="22" customFormat="1" ht="24.95" customHeight="1" x14ac:dyDescent="0.25">
      <c r="A763" s="21"/>
      <c r="F763" s="1"/>
      <c r="G763" s="26"/>
      <c r="H763" s="18"/>
      <c r="I763" s="53"/>
      <c r="J763" s="30"/>
      <c r="K763" s="78"/>
    </row>
    <row r="764" spans="1:11" s="22" customFormat="1" ht="24.95" customHeight="1" x14ac:dyDescent="0.25">
      <c r="A764" s="21"/>
      <c r="F764" s="1"/>
      <c r="G764" s="26"/>
      <c r="H764" s="18"/>
      <c r="I764" s="53"/>
      <c r="J764" s="30"/>
      <c r="K764" s="78"/>
    </row>
    <row r="765" spans="1:11" s="22" customFormat="1" ht="24.95" customHeight="1" x14ac:dyDescent="0.25">
      <c r="A765" s="21"/>
      <c r="F765" s="1"/>
      <c r="G765" s="26"/>
      <c r="H765" s="18"/>
      <c r="I765" s="53"/>
      <c r="J765" s="30"/>
      <c r="K765" s="78"/>
    </row>
    <row r="766" spans="1:11" s="22" customFormat="1" ht="24.95" customHeight="1" x14ac:dyDescent="0.25">
      <c r="A766" s="21"/>
      <c r="F766" s="1"/>
      <c r="G766" s="26"/>
      <c r="H766" s="18"/>
      <c r="I766" s="53"/>
      <c r="J766" s="30"/>
      <c r="K766" s="78"/>
    </row>
    <row r="767" spans="1:11" s="22" customFormat="1" ht="24.95" customHeight="1" x14ac:dyDescent="0.25">
      <c r="A767" s="21"/>
      <c r="F767" s="1"/>
      <c r="G767" s="26"/>
      <c r="H767" s="18"/>
      <c r="I767" s="53"/>
      <c r="J767" s="30"/>
      <c r="K767" s="78"/>
    </row>
    <row r="768" spans="1:11" s="22" customFormat="1" ht="24.95" customHeight="1" x14ac:dyDescent="0.25">
      <c r="A768" s="21"/>
      <c r="F768" s="1"/>
      <c r="G768" s="26"/>
      <c r="H768" s="18"/>
      <c r="I768" s="53"/>
      <c r="J768" s="30"/>
      <c r="K768" s="78"/>
    </row>
    <row r="769" spans="1:11" s="22" customFormat="1" ht="24.95" customHeight="1" x14ac:dyDescent="0.25">
      <c r="A769" s="21"/>
      <c r="F769" s="1"/>
      <c r="G769" s="26"/>
      <c r="H769" s="18"/>
      <c r="I769" s="53"/>
      <c r="J769" s="30"/>
      <c r="K769" s="78"/>
    </row>
    <row r="770" spans="1:11" s="22" customFormat="1" ht="24.95" customHeight="1" x14ac:dyDescent="0.25">
      <c r="A770" s="21"/>
      <c r="F770" s="1"/>
      <c r="G770" s="26"/>
      <c r="H770" s="18"/>
      <c r="I770" s="53"/>
      <c r="J770" s="30"/>
      <c r="K770" s="78"/>
    </row>
    <row r="771" spans="1:11" s="22" customFormat="1" ht="24.95" customHeight="1" x14ac:dyDescent="0.25">
      <c r="A771" s="21"/>
      <c r="F771" s="1"/>
      <c r="G771" s="26"/>
      <c r="H771" s="18"/>
      <c r="I771" s="53"/>
      <c r="J771" s="30"/>
      <c r="K771" s="78"/>
    </row>
    <row r="772" spans="1:11" s="22" customFormat="1" ht="24.95" customHeight="1" x14ac:dyDescent="0.25">
      <c r="A772" s="21"/>
      <c r="F772" s="1"/>
      <c r="G772" s="26"/>
      <c r="H772" s="18"/>
      <c r="I772" s="53"/>
      <c r="J772" s="30"/>
      <c r="K772" s="78"/>
    </row>
    <row r="773" spans="1:11" s="22" customFormat="1" ht="24.95" customHeight="1" x14ac:dyDescent="0.25">
      <c r="A773" s="21"/>
      <c r="F773" s="1"/>
      <c r="G773" s="26"/>
      <c r="H773" s="18"/>
      <c r="I773" s="53"/>
      <c r="J773" s="30"/>
      <c r="K773" s="78"/>
    </row>
    <row r="774" spans="1:11" s="22" customFormat="1" ht="24.95" customHeight="1" x14ac:dyDescent="0.25">
      <c r="A774" s="21"/>
      <c r="F774" s="1"/>
      <c r="G774" s="26"/>
      <c r="H774" s="18"/>
      <c r="I774" s="53"/>
      <c r="J774" s="30"/>
      <c r="K774" s="78"/>
    </row>
    <row r="775" spans="1:11" s="22" customFormat="1" ht="24.95" customHeight="1" x14ac:dyDescent="0.25">
      <c r="A775" s="21"/>
      <c r="F775" s="1"/>
      <c r="G775" s="26"/>
      <c r="H775" s="18"/>
      <c r="I775" s="53"/>
      <c r="J775" s="30"/>
      <c r="K775" s="78"/>
    </row>
    <row r="776" spans="1:11" s="22" customFormat="1" ht="24.95" customHeight="1" x14ac:dyDescent="0.25">
      <c r="A776" s="21"/>
      <c r="F776" s="1"/>
      <c r="G776" s="26"/>
      <c r="H776" s="18"/>
      <c r="I776" s="53"/>
      <c r="J776" s="30"/>
      <c r="K776" s="78"/>
    </row>
    <row r="777" spans="1:11" s="22" customFormat="1" ht="24.95" customHeight="1" x14ac:dyDescent="0.25">
      <c r="A777" s="21"/>
      <c r="F777" s="1"/>
      <c r="G777" s="26"/>
      <c r="H777" s="18"/>
      <c r="I777" s="53"/>
      <c r="J777" s="30"/>
      <c r="K777" s="78"/>
    </row>
    <row r="778" spans="1:11" s="22" customFormat="1" ht="24.95" customHeight="1" x14ac:dyDescent="0.25">
      <c r="A778" s="21"/>
      <c r="F778" s="1"/>
      <c r="G778" s="26"/>
      <c r="H778" s="18"/>
      <c r="I778" s="53"/>
      <c r="J778" s="30"/>
      <c r="K778" s="78"/>
    </row>
    <row r="779" spans="1:11" s="22" customFormat="1" ht="24.95" customHeight="1" x14ac:dyDescent="0.25">
      <c r="A779" s="21"/>
      <c r="F779" s="1"/>
      <c r="G779" s="26"/>
      <c r="H779" s="18"/>
      <c r="I779" s="53"/>
      <c r="J779" s="30"/>
      <c r="K779" s="78"/>
    </row>
    <row r="780" spans="1:11" s="22" customFormat="1" ht="24.95" customHeight="1" x14ac:dyDescent="0.25">
      <c r="A780" s="21"/>
      <c r="F780" s="1"/>
      <c r="G780" s="26"/>
      <c r="H780" s="18"/>
      <c r="I780" s="53"/>
      <c r="J780" s="30"/>
      <c r="K780" s="78"/>
    </row>
    <row r="781" spans="1:11" s="22" customFormat="1" ht="24.95" customHeight="1" x14ac:dyDescent="0.25">
      <c r="A781" s="21"/>
      <c r="F781" s="1"/>
      <c r="G781" s="26"/>
      <c r="H781" s="18"/>
      <c r="I781" s="53"/>
      <c r="J781" s="30"/>
      <c r="K781" s="78"/>
    </row>
    <row r="782" spans="1:11" s="22" customFormat="1" ht="24.95" customHeight="1" x14ac:dyDescent="0.25">
      <c r="A782" s="21"/>
      <c r="F782" s="1"/>
      <c r="G782" s="26"/>
      <c r="H782" s="18"/>
      <c r="I782" s="53"/>
      <c r="J782" s="30"/>
      <c r="K782" s="78"/>
    </row>
    <row r="783" spans="1:11" s="22" customFormat="1" ht="24.95" customHeight="1" x14ac:dyDescent="0.25">
      <c r="A783" s="21"/>
      <c r="F783" s="1"/>
      <c r="G783" s="26"/>
      <c r="H783" s="18"/>
      <c r="I783" s="53"/>
      <c r="J783" s="30"/>
      <c r="K783" s="78"/>
    </row>
    <row r="784" spans="1:11" s="22" customFormat="1" ht="24.95" customHeight="1" x14ac:dyDescent="0.25">
      <c r="A784" s="21"/>
      <c r="F784" s="1"/>
      <c r="G784" s="26"/>
      <c r="H784" s="18"/>
      <c r="I784" s="53"/>
      <c r="J784" s="30"/>
      <c r="K784" s="78"/>
    </row>
    <row r="785" spans="1:11" s="22" customFormat="1" ht="24.95" customHeight="1" x14ac:dyDescent="0.25">
      <c r="A785" s="21"/>
      <c r="F785" s="1"/>
      <c r="G785" s="26"/>
      <c r="H785" s="18"/>
      <c r="I785" s="53"/>
      <c r="J785" s="30"/>
      <c r="K785" s="78"/>
    </row>
    <row r="786" spans="1:11" s="22" customFormat="1" ht="24.95" customHeight="1" x14ac:dyDescent="0.25">
      <c r="A786" s="21"/>
      <c r="F786" s="1"/>
      <c r="G786" s="26"/>
      <c r="H786" s="18"/>
      <c r="I786" s="53"/>
      <c r="J786" s="30"/>
      <c r="K786" s="78"/>
    </row>
    <row r="787" spans="1:11" s="22" customFormat="1" ht="24.95" customHeight="1" x14ac:dyDescent="0.25">
      <c r="A787" s="21"/>
      <c r="F787" s="1"/>
      <c r="G787" s="26"/>
      <c r="H787" s="18"/>
      <c r="I787" s="53"/>
      <c r="J787" s="30"/>
      <c r="K787" s="78"/>
    </row>
    <row r="788" spans="1:11" s="22" customFormat="1" ht="24.95" customHeight="1" x14ac:dyDescent="0.25">
      <c r="A788" s="21"/>
      <c r="F788" s="1"/>
      <c r="G788" s="26"/>
      <c r="H788" s="18"/>
      <c r="I788" s="53"/>
      <c r="J788" s="30"/>
      <c r="K788" s="78"/>
    </row>
    <row r="789" spans="1:11" s="22" customFormat="1" ht="24.95" customHeight="1" x14ac:dyDescent="0.25">
      <c r="A789" s="21"/>
      <c r="F789" s="1"/>
      <c r="G789" s="26"/>
      <c r="H789" s="18"/>
      <c r="I789" s="53"/>
      <c r="J789" s="30"/>
      <c r="K789" s="78"/>
    </row>
    <row r="790" spans="1:11" s="22" customFormat="1" ht="24.95" customHeight="1" x14ac:dyDescent="0.25">
      <c r="A790" s="21"/>
      <c r="F790" s="1"/>
      <c r="G790" s="26"/>
      <c r="H790" s="18"/>
      <c r="I790" s="53"/>
      <c r="J790" s="30"/>
      <c r="K790" s="78"/>
    </row>
    <row r="791" spans="1:11" s="22" customFormat="1" ht="24.95" customHeight="1" x14ac:dyDescent="0.25">
      <c r="A791" s="21"/>
      <c r="F791" s="1"/>
      <c r="G791" s="26"/>
      <c r="H791" s="18"/>
      <c r="I791" s="53"/>
      <c r="J791" s="30"/>
      <c r="K791" s="78"/>
    </row>
    <row r="792" spans="1:11" s="22" customFormat="1" ht="24.95" customHeight="1" x14ac:dyDescent="0.25">
      <c r="A792" s="21"/>
      <c r="F792" s="1"/>
      <c r="G792" s="26"/>
      <c r="H792" s="18"/>
      <c r="I792" s="53"/>
      <c r="J792" s="30"/>
      <c r="K792" s="78"/>
    </row>
    <row r="793" spans="1:11" s="22" customFormat="1" ht="24.95" customHeight="1" x14ac:dyDescent="0.25">
      <c r="A793" s="21"/>
      <c r="F793" s="1"/>
      <c r="G793" s="26"/>
      <c r="H793" s="18"/>
      <c r="I793" s="53"/>
      <c r="J793" s="30"/>
      <c r="K793" s="78"/>
    </row>
    <row r="794" spans="1:11" s="22" customFormat="1" ht="24.95" customHeight="1" x14ac:dyDescent="0.25">
      <c r="A794" s="21"/>
      <c r="F794" s="1"/>
      <c r="G794" s="26"/>
      <c r="H794" s="18"/>
      <c r="I794" s="53"/>
      <c r="J794" s="30"/>
      <c r="K794" s="78"/>
    </row>
    <row r="795" spans="1:11" s="22" customFormat="1" ht="24.95" customHeight="1" x14ac:dyDescent="0.25">
      <c r="A795" s="21"/>
      <c r="F795" s="1"/>
      <c r="G795" s="26"/>
      <c r="H795" s="18"/>
      <c r="I795" s="53"/>
      <c r="J795" s="30"/>
      <c r="K795" s="78"/>
    </row>
    <row r="796" spans="1:11" s="22" customFormat="1" ht="24.95" customHeight="1" x14ac:dyDescent="0.25">
      <c r="A796" s="21"/>
      <c r="F796" s="1"/>
      <c r="G796" s="26"/>
      <c r="H796" s="18"/>
      <c r="I796" s="53"/>
      <c r="J796" s="30"/>
      <c r="K796" s="78"/>
    </row>
    <row r="797" spans="1:11" s="22" customFormat="1" ht="24.95" customHeight="1" x14ac:dyDescent="0.25">
      <c r="A797" s="21"/>
      <c r="F797" s="1"/>
      <c r="G797" s="26"/>
      <c r="H797" s="18"/>
      <c r="I797" s="53"/>
      <c r="J797" s="30"/>
      <c r="K797" s="78"/>
    </row>
    <row r="798" spans="1:11" s="22" customFormat="1" ht="24.95" customHeight="1" x14ac:dyDescent="0.25">
      <c r="A798" s="21"/>
      <c r="F798" s="1"/>
      <c r="G798" s="26"/>
      <c r="H798" s="18"/>
      <c r="I798" s="53"/>
      <c r="J798" s="30"/>
      <c r="K798" s="78"/>
    </row>
    <row r="799" spans="1:11" s="22" customFormat="1" ht="24.95" customHeight="1" x14ac:dyDescent="0.25">
      <c r="A799" s="21"/>
      <c r="F799" s="1"/>
      <c r="G799" s="26"/>
      <c r="H799" s="18"/>
      <c r="I799" s="53"/>
      <c r="J799" s="30"/>
      <c r="K799" s="78"/>
    </row>
    <row r="800" spans="1:11" s="22" customFormat="1" ht="24.95" customHeight="1" x14ac:dyDescent="0.25">
      <c r="A800" s="21"/>
      <c r="F800" s="1"/>
      <c r="G800" s="26"/>
      <c r="H800" s="18"/>
      <c r="I800" s="53"/>
      <c r="J800" s="30"/>
      <c r="K800" s="78"/>
    </row>
    <row r="801" spans="1:11" s="22" customFormat="1" ht="24.95" customHeight="1" x14ac:dyDescent="0.25">
      <c r="A801" s="21"/>
      <c r="F801" s="1"/>
      <c r="G801" s="26"/>
      <c r="H801" s="18"/>
      <c r="I801" s="53"/>
      <c r="J801" s="30"/>
      <c r="K801" s="78"/>
    </row>
    <row r="802" spans="1:11" s="22" customFormat="1" ht="24.95" customHeight="1" x14ac:dyDescent="0.25">
      <c r="A802" s="21"/>
      <c r="F802" s="1"/>
      <c r="G802" s="26"/>
      <c r="H802" s="18"/>
      <c r="I802" s="53"/>
      <c r="J802" s="30"/>
      <c r="K802" s="78"/>
    </row>
    <row r="803" spans="1:11" s="22" customFormat="1" ht="24.95" customHeight="1" x14ac:dyDescent="0.25">
      <c r="A803" s="21"/>
      <c r="F803" s="1"/>
      <c r="G803" s="26"/>
      <c r="H803" s="18"/>
      <c r="I803" s="53"/>
      <c r="J803" s="30"/>
      <c r="K803" s="78"/>
    </row>
    <row r="804" spans="1:11" s="22" customFormat="1" ht="24.95" customHeight="1" x14ac:dyDescent="0.25">
      <c r="A804" s="21"/>
      <c r="F804" s="1"/>
      <c r="G804" s="26"/>
      <c r="H804" s="18"/>
      <c r="I804" s="53"/>
      <c r="J804" s="30"/>
      <c r="K804" s="78"/>
    </row>
    <row r="805" spans="1:11" s="22" customFormat="1" ht="24.95" customHeight="1" x14ac:dyDescent="0.25">
      <c r="A805" s="21"/>
      <c r="F805" s="1"/>
      <c r="G805" s="26"/>
      <c r="H805" s="18"/>
      <c r="I805" s="53"/>
      <c r="J805" s="30"/>
      <c r="K805" s="78"/>
    </row>
    <row r="806" spans="1:11" s="22" customFormat="1" ht="24.95" customHeight="1" x14ac:dyDescent="0.25">
      <c r="A806" s="21"/>
      <c r="F806" s="1"/>
      <c r="G806" s="26"/>
      <c r="H806" s="18"/>
      <c r="I806" s="53"/>
      <c r="J806" s="30"/>
      <c r="K806" s="78"/>
    </row>
    <row r="807" spans="1:11" s="22" customFormat="1" ht="24.95" customHeight="1" x14ac:dyDescent="0.25">
      <c r="A807" s="21"/>
      <c r="F807" s="1"/>
      <c r="G807" s="26"/>
      <c r="H807" s="18"/>
      <c r="I807" s="53"/>
      <c r="J807" s="30"/>
      <c r="K807" s="78"/>
    </row>
    <row r="808" spans="1:11" s="22" customFormat="1" ht="24.95" customHeight="1" x14ac:dyDescent="0.25">
      <c r="A808" s="21"/>
      <c r="F808" s="1"/>
      <c r="G808" s="26"/>
      <c r="H808" s="18"/>
      <c r="I808" s="53"/>
      <c r="J808" s="30"/>
      <c r="K808" s="78"/>
    </row>
    <row r="809" spans="1:11" s="22" customFormat="1" ht="24.95" customHeight="1" x14ac:dyDescent="0.25">
      <c r="A809" s="21"/>
      <c r="F809" s="1"/>
      <c r="G809" s="26"/>
      <c r="H809" s="18"/>
      <c r="I809" s="53"/>
      <c r="J809" s="30"/>
      <c r="K809" s="78"/>
    </row>
    <row r="810" spans="1:11" s="22" customFormat="1" ht="24.95" customHeight="1" x14ac:dyDescent="0.25">
      <c r="A810" s="21"/>
      <c r="F810" s="1"/>
      <c r="G810" s="26"/>
      <c r="H810" s="18"/>
      <c r="I810" s="53"/>
      <c r="J810" s="30"/>
      <c r="K810" s="78"/>
    </row>
    <row r="811" spans="1:11" s="22" customFormat="1" ht="24.95" customHeight="1" x14ac:dyDescent="0.25">
      <c r="A811" s="21"/>
      <c r="F811" s="1"/>
      <c r="G811" s="26"/>
      <c r="H811" s="18"/>
      <c r="I811" s="53"/>
      <c r="J811" s="30"/>
      <c r="K811" s="78"/>
    </row>
    <row r="812" spans="1:11" s="22" customFormat="1" ht="24.95" customHeight="1" x14ac:dyDescent="0.25">
      <c r="A812" s="21"/>
      <c r="F812" s="1"/>
      <c r="G812" s="26"/>
      <c r="H812" s="18"/>
      <c r="I812" s="53"/>
      <c r="J812" s="30"/>
      <c r="K812" s="78"/>
    </row>
    <row r="813" spans="1:11" s="22" customFormat="1" ht="24.95" customHeight="1" x14ac:dyDescent="0.25">
      <c r="A813" s="21"/>
      <c r="F813" s="1"/>
      <c r="G813" s="26"/>
      <c r="H813" s="18"/>
      <c r="I813" s="53"/>
      <c r="J813" s="30"/>
      <c r="K813" s="78"/>
    </row>
    <row r="814" spans="1:11" s="22" customFormat="1" ht="24.95" customHeight="1" x14ac:dyDescent="0.25">
      <c r="A814" s="21"/>
      <c r="F814" s="1"/>
      <c r="G814" s="26"/>
      <c r="H814" s="18"/>
      <c r="I814" s="53"/>
      <c r="J814" s="30"/>
      <c r="K814" s="78"/>
    </row>
    <row r="815" spans="1:11" s="22" customFormat="1" ht="24.95" customHeight="1" x14ac:dyDescent="0.25">
      <c r="A815" s="21"/>
      <c r="F815" s="1"/>
      <c r="G815" s="26"/>
      <c r="H815" s="18"/>
      <c r="I815" s="53"/>
      <c r="J815" s="30"/>
      <c r="K815" s="78"/>
    </row>
    <row r="816" spans="1:11" s="22" customFormat="1" ht="24.95" customHeight="1" x14ac:dyDescent="0.25">
      <c r="A816" s="21"/>
      <c r="F816" s="1"/>
      <c r="G816" s="26"/>
      <c r="H816" s="18"/>
      <c r="I816" s="53"/>
      <c r="J816" s="30"/>
      <c r="K816" s="78"/>
    </row>
    <row r="817" spans="1:11" s="22" customFormat="1" ht="24.95" customHeight="1" x14ac:dyDescent="0.25">
      <c r="A817" s="21"/>
      <c r="F817" s="1"/>
      <c r="G817" s="26"/>
      <c r="H817" s="18"/>
      <c r="I817" s="53"/>
      <c r="J817" s="30"/>
      <c r="K817" s="78"/>
    </row>
    <row r="818" spans="1:11" s="22" customFormat="1" ht="24.95" customHeight="1" x14ac:dyDescent="0.25">
      <c r="A818" s="21"/>
      <c r="F818" s="1"/>
      <c r="G818" s="26"/>
      <c r="H818" s="18"/>
      <c r="I818" s="53"/>
      <c r="J818" s="30"/>
      <c r="K818" s="78"/>
    </row>
    <row r="819" spans="1:11" s="22" customFormat="1" ht="24.95" customHeight="1" x14ac:dyDescent="0.25">
      <c r="A819" s="21"/>
      <c r="F819" s="1"/>
      <c r="G819" s="26"/>
      <c r="H819" s="18"/>
      <c r="I819" s="53"/>
      <c r="J819" s="30"/>
      <c r="K819" s="78"/>
    </row>
    <row r="820" spans="1:11" s="22" customFormat="1" ht="24.95" customHeight="1" x14ac:dyDescent="0.25">
      <c r="A820" s="21"/>
      <c r="F820" s="1"/>
      <c r="G820" s="26"/>
      <c r="H820" s="18"/>
      <c r="I820" s="53"/>
      <c r="J820" s="30"/>
      <c r="K820" s="78"/>
    </row>
    <row r="821" spans="1:11" s="22" customFormat="1" ht="24.95" customHeight="1" x14ac:dyDescent="0.25">
      <c r="A821" s="21"/>
      <c r="F821" s="1"/>
      <c r="G821" s="26"/>
      <c r="H821" s="18"/>
      <c r="I821" s="53"/>
      <c r="J821" s="30"/>
      <c r="K821" s="78"/>
    </row>
    <row r="822" spans="1:11" s="22" customFormat="1" ht="24.95" customHeight="1" x14ac:dyDescent="0.25">
      <c r="A822" s="21"/>
      <c r="F822" s="1"/>
      <c r="G822" s="26"/>
      <c r="H822" s="18"/>
      <c r="I822" s="53"/>
      <c r="J822" s="30"/>
      <c r="K822" s="78"/>
    </row>
    <row r="823" spans="1:11" s="22" customFormat="1" ht="24.95" customHeight="1" x14ac:dyDescent="0.25">
      <c r="A823" s="21"/>
      <c r="F823" s="1"/>
      <c r="G823" s="26"/>
      <c r="H823" s="18"/>
      <c r="I823" s="53"/>
      <c r="J823" s="30"/>
      <c r="K823" s="78"/>
    </row>
    <row r="824" spans="1:11" s="22" customFormat="1" ht="24.95" customHeight="1" x14ac:dyDescent="0.25">
      <c r="A824" s="21"/>
      <c r="F824" s="1"/>
      <c r="G824" s="26"/>
      <c r="H824" s="18"/>
      <c r="I824" s="53"/>
      <c r="J824" s="30"/>
      <c r="K824" s="78"/>
    </row>
    <row r="825" spans="1:11" s="22" customFormat="1" ht="24.95" customHeight="1" x14ac:dyDescent="0.25">
      <c r="A825" s="21"/>
      <c r="F825" s="1"/>
      <c r="G825" s="26"/>
      <c r="H825" s="18"/>
      <c r="I825" s="53"/>
      <c r="J825" s="30"/>
      <c r="K825" s="78"/>
    </row>
    <row r="826" spans="1:11" s="22" customFormat="1" ht="24.95" customHeight="1" x14ac:dyDescent="0.25">
      <c r="A826" s="21"/>
      <c r="F826" s="1"/>
      <c r="G826" s="26"/>
      <c r="H826" s="18"/>
      <c r="I826" s="53"/>
      <c r="J826" s="30"/>
      <c r="K826" s="78"/>
    </row>
    <row r="827" spans="1:11" s="22" customFormat="1" ht="24.95" customHeight="1" x14ac:dyDescent="0.25">
      <c r="A827" s="21"/>
      <c r="F827" s="1"/>
      <c r="G827" s="26"/>
      <c r="H827" s="18"/>
      <c r="I827" s="53"/>
      <c r="J827" s="30"/>
      <c r="K827" s="78"/>
    </row>
    <row r="828" spans="1:11" s="22" customFormat="1" ht="24.95" customHeight="1" x14ac:dyDescent="0.25">
      <c r="A828" s="21"/>
      <c r="F828" s="1"/>
      <c r="G828" s="26"/>
      <c r="H828" s="18"/>
      <c r="I828" s="53"/>
      <c r="J828" s="30"/>
      <c r="K828" s="78"/>
    </row>
    <row r="829" spans="1:11" s="22" customFormat="1" ht="24.95" customHeight="1" x14ac:dyDescent="0.25">
      <c r="A829" s="21"/>
      <c r="F829" s="1"/>
      <c r="G829" s="26"/>
      <c r="H829" s="18"/>
      <c r="I829" s="53"/>
      <c r="J829" s="30"/>
      <c r="K829" s="78"/>
    </row>
    <row r="830" spans="1:11" s="22" customFormat="1" ht="24.95" customHeight="1" x14ac:dyDescent="0.25">
      <c r="A830" s="21"/>
      <c r="F830" s="1"/>
      <c r="G830" s="26"/>
      <c r="H830" s="18"/>
      <c r="I830" s="53"/>
      <c r="J830" s="30"/>
      <c r="K830" s="78"/>
    </row>
    <row r="831" spans="1:11" s="22" customFormat="1" ht="24.95" customHeight="1" x14ac:dyDescent="0.25">
      <c r="A831" s="21"/>
      <c r="F831" s="1"/>
      <c r="G831" s="26"/>
      <c r="H831" s="18"/>
      <c r="I831" s="53"/>
      <c r="J831" s="30"/>
      <c r="K831" s="78"/>
    </row>
    <row r="832" spans="1:11" s="22" customFormat="1" ht="24.95" customHeight="1" x14ac:dyDescent="0.25">
      <c r="A832" s="21"/>
      <c r="F832" s="1"/>
      <c r="G832" s="26"/>
      <c r="H832" s="18"/>
      <c r="I832" s="53"/>
      <c r="J832" s="30"/>
      <c r="K832" s="78"/>
    </row>
    <row r="833" spans="1:11" s="22" customFormat="1" ht="24.95" customHeight="1" x14ac:dyDescent="0.25">
      <c r="A833" s="21"/>
      <c r="F833" s="1"/>
      <c r="G833" s="26"/>
      <c r="H833" s="18"/>
      <c r="I833" s="53"/>
      <c r="J833" s="30"/>
      <c r="K833" s="78"/>
    </row>
    <row r="834" spans="1:11" s="22" customFormat="1" ht="24.95" customHeight="1" x14ac:dyDescent="0.25">
      <c r="A834" s="21"/>
      <c r="F834" s="1"/>
      <c r="G834" s="26"/>
      <c r="H834" s="18"/>
      <c r="I834" s="53"/>
      <c r="J834" s="30"/>
      <c r="K834" s="78"/>
    </row>
    <row r="835" spans="1:11" s="22" customFormat="1" ht="24.95" customHeight="1" x14ac:dyDescent="0.25">
      <c r="A835" s="21"/>
      <c r="F835" s="1"/>
      <c r="G835" s="26"/>
      <c r="H835" s="18"/>
      <c r="I835" s="53"/>
      <c r="J835" s="30"/>
      <c r="K835" s="78"/>
    </row>
    <row r="836" spans="1:11" s="22" customFormat="1" ht="24.95" customHeight="1" x14ac:dyDescent="0.25">
      <c r="A836" s="21"/>
      <c r="F836" s="1"/>
      <c r="G836" s="26"/>
      <c r="H836" s="18"/>
      <c r="I836" s="53"/>
      <c r="J836" s="30"/>
      <c r="K836" s="78"/>
    </row>
    <row r="837" spans="1:11" s="22" customFormat="1" ht="24.95" customHeight="1" x14ac:dyDescent="0.25">
      <c r="A837" s="21"/>
      <c r="F837" s="1"/>
      <c r="G837" s="26"/>
      <c r="H837" s="18"/>
      <c r="I837" s="53"/>
      <c r="J837" s="30"/>
      <c r="K837" s="78"/>
    </row>
    <row r="838" spans="1:11" s="22" customFormat="1" ht="24.95" customHeight="1" x14ac:dyDescent="0.25">
      <c r="A838" s="21"/>
      <c r="F838" s="1"/>
      <c r="G838" s="26"/>
      <c r="H838" s="18"/>
      <c r="I838" s="53"/>
      <c r="J838" s="30"/>
      <c r="K838" s="78"/>
    </row>
    <row r="839" spans="1:11" s="22" customFormat="1" ht="24.95" customHeight="1" x14ac:dyDescent="0.25">
      <c r="A839" s="21"/>
      <c r="F839" s="1"/>
      <c r="G839" s="26"/>
      <c r="H839" s="18"/>
      <c r="I839" s="53"/>
      <c r="J839" s="30"/>
      <c r="K839" s="78"/>
    </row>
    <row r="840" spans="1:11" s="22" customFormat="1" ht="24.95" customHeight="1" x14ac:dyDescent="0.25">
      <c r="A840" s="21"/>
      <c r="F840" s="1"/>
      <c r="G840" s="26"/>
      <c r="H840" s="18"/>
      <c r="I840" s="53"/>
      <c r="J840" s="30"/>
      <c r="K840" s="78"/>
    </row>
    <row r="841" spans="1:11" s="22" customFormat="1" ht="24.95" customHeight="1" x14ac:dyDescent="0.25">
      <c r="A841" s="21"/>
      <c r="F841" s="1"/>
      <c r="G841" s="26"/>
      <c r="H841" s="18"/>
      <c r="I841" s="53"/>
      <c r="J841" s="30"/>
      <c r="K841" s="78"/>
    </row>
    <row r="842" spans="1:11" s="22" customFormat="1" ht="24.95" customHeight="1" x14ac:dyDescent="0.25">
      <c r="A842" s="21"/>
      <c r="F842" s="1"/>
      <c r="G842" s="26"/>
      <c r="H842" s="18"/>
      <c r="I842" s="53"/>
      <c r="J842" s="30"/>
      <c r="K842" s="78"/>
    </row>
    <row r="843" spans="1:11" s="22" customFormat="1" ht="24.95" customHeight="1" x14ac:dyDescent="0.25">
      <c r="A843" s="21"/>
      <c r="F843" s="1"/>
      <c r="G843" s="26"/>
      <c r="H843" s="18"/>
      <c r="I843" s="53"/>
      <c r="J843" s="30"/>
      <c r="K843" s="78"/>
    </row>
    <row r="844" spans="1:11" s="22" customFormat="1" ht="24.95" customHeight="1" x14ac:dyDescent="0.25">
      <c r="A844" s="21"/>
      <c r="F844" s="1"/>
      <c r="G844" s="26"/>
      <c r="H844" s="18"/>
      <c r="I844" s="53"/>
      <c r="J844" s="30"/>
      <c r="K844" s="78"/>
    </row>
    <row r="845" spans="1:11" s="22" customFormat="1" ht="24.95" customHeight="1" x14ac:dyDescent="0.25">
      <c r="A845" s="21"/>
      <c r="F845" s="1"/>
      <c r="G845" s="26"/>
      <c r="H845" s="18"/>
      <c r="I845" s="53"/>
      <c r="J845" s="30"/>
      <c r="K845" s="78"/>
    </row>
    <row r="846" spans="1:11" s="22" customFormat="1" ht="24.95" customHeight="1" x14ac:dyDescent="0.25">
      <c r="A846" s="21"/>
      <c r="F846" s="1"/>
      <c r="G846" s="26"/>
      <c r="H846" s="18"/>
      <c r="I846" s="53"/>
      <c r="J846" s="30"/>
      <c r="K846" s="78"/>
    </row>
    <row r="847" spans="1:11" s="22" customFormat="1" ht="24.95" customHeight="1" x14ac:dyDescent="0.25">
      <c r="A847" s="21"/>
      <c r="F847" s="1"/>
      <c r="G847" s="26"/>
      <c r="H847" s="18"/>
      <c r="I847" s="53"/>
      <c r="J847" s="30"/>
      <c r="K847" s="78"/>
    </row>
    <row r="848" spans="1:11" s="22" customFormat="1" ht="24.95" customHeight="1" x14ac:dyDescent="0.25">
      <c r="A848" s="21"/>
      <c r="F848" s="1"/>
      <c r="G848" s="26"/>
      <c r="H848" s="18"/>
      <c r="I848" s="53"/>
      <c r="J848" s="30"/>
      <c r="K848" s="78"/>
    </row>
    <row r="849" spans="1:11" s="22" customFormat="1" ht="24.95" customHeight="1" x14ac:dyDescent="0.25">
      <c r="A849" s="21"/>
      <c r="F849" s="1"/>
      <c r="G849" s="26"/>
      <c r="H849" s="18"/>
      <c r="I849" s="53"/>
      <c r="J849" s="30"/>
      <c r="K849" s="78"/>
    </row>
    <row r="850" spans="1:11" s="22" customFormat="1" ht="24.95" customHeight="1" x14ac:dyDescent="0.25">
      <c r="A850" s="21"/>
      <c r="F850" s="1"/>
      <c r="G850" s="26"/>
      <c r="H850" s="18"/>
      <c r="I850" s="53"/>
      <c r="J850" s="30"/>
      <c r="K850" s="78"/>
    </row>
    <row r="851" spans="1:11" s="22" customFormat="1" ht="24.95" customHeight="1" x14ac:dyDescent="0.25">
      <c r="A851" s="21"/>
      <c r="F851" s="1"/>
      <c r="G851" s="26"/>
      <c r="H851" s="18"/>
      <c r="I851" s="53"/>
      <c r="J851" s="30"/>
      <c r="K851" s="78"/>
    </row>
    <row r="852" spans="1:11" s="22" customFormat="1" ht="24.95" customHeight="1" x14ac:dyDescent="0.25">
      <c r="A852" s="21"/>
      <c r="F852" s="1"/>
      <c r="G852" s="26"/>
      <c r="H852" s="18"/>
      <c r="I852" s="53"/>
      <c r="J852" s="30"/>
      <c r="K852" s="78"/>
    </row>
    <row r="853" spans="1:11" s="22" customFormat="1" ht="24.95" customHeight="1" x14ac:dyDescent="0.25">
      <c r="A853" s="21"/>
      <c r="F853" s="1"/>
      <c r="G853" s="26"/>
      <c r="H853" s="18"/>
      <c r="I853" s="53"/>
      <c r="J853" s="30"/>
      <c r="K853" s="78"/>
    </row>
    <row r="854" spans="1:11" s="22" customFormat="1" ht="24.95" customHeight="1" x14ac:dyDescent="0.25">
      <c r="A854" s="21"/>
      <c r="F854" s="1"/>
      <c r="G854" s="26"/>
      <c r="H854" s="18"/>
      <c r="I854" s="53"/>
      <c r="J854" s="30"/>
      <c r="K854" s="78"/>
    </row>
    <row r="855" spans="1:11" s="22" customFormat="1" ht="24.95" customHeight="1" x14ac:dyDescent="0.25">
      <c r="A855" s="21"/>
      <c r="F855" s="1"/>
      <c r="G855" s="26"/>
      <c r="H855" s="18"/>
      <c r="I855" s="53"/>
      <c r="J855" s="30"/>
      <c r="K855" s="78"/>
    </row>
    <row r="856" spans="1:11" s="22" customFormat="1" ht="24.95" customHeight="1" x14ac:dyDescent="0.25">
      <c r="A856" s="21"/>
      <c r="F856" s="1"/>
      <c r="G856" s="26"/>
      <c r="H856" s="18"/>
      <c r="I856" s="53"/>
      <c r="J856" s="30"/>
      <c r="K856" s="78"/>
    </row>
    <row r="857" spans="1:11" s="22" customFormat="1" ht="24.95" customHeight="1" x14ac:dyDescent="0.25">
      <c r="A857" s="21"/>
      <c r="F857" s="1"/>
      <c r="G857" s="26"/>
      <c r="H857" s="18"/>
      <c r="I857" s="53"/>
      <c r="J857" s="30"/>
      <c r="K857" s="78"/>
    </row>
    <row r="858" spans="1:11" s="22" customFormat="1" ht="24.95" customHeight="1" x14ac:dyDescent="0.25">
      <c r="A858" s="21"/>
      <c r="F858" s="1"/>
      <c r="G858" s="26"/>
      <c r="H858" s="18"/>
      <c r="I858" s="53"/>
      <c r="J858" s="30"/>
      <c r="K858" s="78"/>
    </row>
    <row r="859" spans="1:11" s="22" customFormat="1" ht="24.95" customHeight="1" x14ac:dyDescent="0.25">
      <c r="A859" s="21"/>
      <c r="F859" s="1"/>
      <c r="G859" s="26"/>
      <c r="H859" s="18"/>
      <c r="I859" s="53"/>
      <c r="J859" s="30"/>
      <c r="K859" s="78"/>
    </row>
    <row r="860" spans="1:11" s="22" customFormat="1" ht="24.95" customHeight="1" x14ac:dyDescent="0.25">
      <c r="A860" s="21"/>
      <c r="F860" s="1"/>
      <c r="G860" s="26"/>
      <c r="H860" s="18"/>
      <c r="I860" s="53"/>
      <c r="J860" s="30"/>
      <c r="K860" s="78"/>
    </row>
    <row r="861" spans="1:11" s="22" customFormat="1" ht="24.95" customHeight="1" x14ac:dyDescent="0.25">
      <c r="A861" s="21"/>
      <c r="F861" s="1"/>
      <c r="G861" s="26"/>
      <c r="H861" s="18"/>
      <c r="I861" s="53"/>
      <c r="J861" s="30"/>
      <c r="K861" s="78"/>
    </row>
    <row r="862" spans="1:11" s="22" customFormat="1" ht="24.95" customHeight="1" x14ac:dyDescent="0.25">
      <c r="A862" s="21"/>
      <c r="F862" s="1"/>
      <c r="G862" s="26"/>
      <c r="H862" s="18"/>
      <c r="I862" s="53"/>
      <c r="J862" s="30"/>
      <c r="K862" s="78"/>
    </row>
    <row r="863" spans="1:11" s="22" customFormat="1" ht="24.95" customHeight="1" x14ac:dyDescent="0.25">
      <c r="A863" s="21"/>
      <c r="F863" s="1"/>
      <c r="G863" s="26"/>
      <c r="H863" s="18"/>
      <c r="I863" s="53"/>
      <c r="J863" s="30"/>
      <c r="K863" s="78"/>
    </row>
    <row r="864" spans="1:11" s="22" customFormat="1" ht="24.95" customHeight="1" x14ac:dyDescent="0.25">
      <c r="A864" s="21"/>
      <c r="F864" s="1"/>
      <c r="G864" s="26"/>
      <c r="H864" s="18"/>
      <c r="I864" s="53"/>
      <c r="J864" s="30"/>
      <c r="K864" s="78"/>
    </row>
    <row r="865" spans="1:11" s="22" customFormat="1" ht="24.95" customHeight="1" x14ac:dyDescent="0.25">
      <c r="A865" s="21"/>
      <c r="F865" s="1"/>
      <c r="G865" s="26"/>
      <c r="H865" s="18"/>
      <c r="I865" s="53"/>
      <c r="J865" s="30"/>
      <c r="K865" s="78"/>
    </row>
    <row r="866" spans="1:11" s="22" customFormat="1" ht="24.95" customHeight="1" x14ac:dyDescent="0.25">
      <c r="A866" s="21"/>
      <c r="F866" s="1"/>
      <c r="G866" s="26"/>
      <c r="H866" s="18"/>
      <c r="I866" s="53"/>
      <c r="J866" s="30"/>
      <c r="K866" s="78"/>
    </row>
    <row r="867" spans="1:11" s="22" customFormat="1" ht="24.95" customHeight="1" x14ac:dyDescent="0.25">
      <c r="A867" s="21"/>
      <c r="F867" s="1"/>
      <c r="G867" s="26"/>
      <c r="H867" s="18"/>
      <c r="I867" s="53"/>
      <c r="J867" s="30"/>
      <c r="K867" s="78"/>
    </row>
    <row r="868" spans="1:11" s="22" customFormat="1" ht="24.95" customHeight="1" x14ac:dyDescent="0.25">
      <c r="A868" s="21"/>
      <c r="F868" s="1"/>
      <c r="G868" s="26"/>
      <c r="H868" s="18"/>
      <c r="I868" s="53"/>
      <c r="J868" s="30"/>
      <c r="K868" s="78"/>
    </row>
    <row r="869" spans="1:11" s="22" customFormat="1" ht="24.95" customHeight="1" x14ac:dyDescent="0.25">
      <c r="A869" s="21"/>
      <c r="F869" s="1"/>
      <c r="G869" s="26"/>
      <c r="H869" s="18"/>
      <c r="I869" s="53"/>
      <c r="J869" s="30"/>
      <c r="K869" s="78"/>
    </row>
    <row r="870" spans="1:11" s="22" customFormat="1" ht="24.95" customHeight="1" x14ac:dyDescent="0.25">
      <c r="A870" s="21"/>
      <c r="F870" s="1"/>
      <c r="G870" s="26"/>
      <c r="H870" s="18"/>
      <c r="I870" s="53"/>
      <c r="J870" s="30"/>
      <c r="K870" s="78"/>
    </row>
    <row r="871" spans="1:11" s="22" customFormat="1" ht="24.95" customHeight="1" x14ac:dyDescent="0.25">
      <c r="A871" s="21"/>
      <c r="F871" s="1"/>
      <c r="G871" s="26"/>
      <c r="H871" s="18"/>
      <c r="I871" s="53"/>
      <c r="J871" s="30"/>
      <c r="K871" s="78"/>
    </row>
    <row r="872" spans="1:11" s="22" customFormat="1" ht="24.95" customHeight="1" x14ac:dyDescent="0.25">
      <c r="A872" s="21"/>
      <c r="F872" s="1"/>
      <c r="G872" s="26"/>
      <c r="H872" s="18"/>
      <c r="I872" s="53"/>
      <c r="J872" s="30"/>
      <c r="K872" s="78"/>
    </row>
    <row r="873" spans="1:11" s="22" customFormat="1" ht="24.95" customHeight="1" x14ac:dyDescent="0.25">
      <c r="A873" s="21"/>
      <c r="F873" s="1"/>
      <c r="G873" s="26"/>
      <c r="H873" s="18"/>
      <c r="I873" s="53"/>
      <c r="J873" s="30"/>
      <c r="K873" s="78"/>
    </row>
    <row r="874" spans="1:11" s="22" customFormat="1" ht="24.95" customHeight="1" x14ac:dyDescent="0.25">
      <c r="A874" s="21"/>
      <c r="F874" s="1"/>
      <c r="G874" s="26"/>
      <c r="H874" s="18"/>
      <c r="I874" s="53"/>
      <c r="J874" s="30"/>
      <c r="K874" s="78"/>
    </row>
    <row r="875" spans="1:11" s="22" customFormat="1" ht="24.95" customHeight="1" x14ac:dyDescent="0.25">
      <c r="A875" s="21"/>
      <c r="F875" s="1"/>
      <c r="G875" s="26"/>
      <c r="H875" s="18"/>
      <c r="I875" s="53"/>
      <c r="J875" s="30"/>
      <c r="K875" s="78"/>
    </row>
    <row r="876" spans="1:11" s="22" customFormat="1" ht="24.95" customHeight="1" x14ac:dyDescent="0.25">
      <c r="A876" s="21"/>
      <c r="F876" s="1"/>
      <c r="G876" s="26"/>
      <c r="H876" s="18"/>
      <c r="I876" s="53"/>
      <c r="J876" s="30"/>
      <c r="K876" s="78"/>
    </row>
    <row r="877" spans="1:11" s="22" customFormat="1" ht="24.95" customHeight="1" x14ac:dyDescent="0.25">
      <c r="A877" s="21"/>
      <c r="F877" s="1"/>
      <c r="G877" s="26"/>
      <c r="H877" s="18"/>
      <c r="I877" s="53"/>
      <c r="J877" s="30"/>
      <c r="K877" s="78"/>
    </row>
    <row r="878" spans="1:11" s="22" customFormat="1" ht="24.95" customHeight="1" x14ac:dyDescent="0.25">
      <c r="A878" s="21"/>
      <c r="F878" s="1"/>
      <c r="G878" s="26"/>
      <c r="H878" s="18"/>
      <c r="I878" s="53"/>
      <c r="J878" s="30"/>
      <c r="K878" s="78"/>
    </row>
    <row r="879" spans="1:11" s="22" customFormat="1" ht="24.95" customHeight="1" x14ac:dyDescent="0.25">
      <c r="A879" s="21"/>
      <c r="F879" s="1"/>
      <c r="G879" s="26"/>
      <c r="H879" s="18"/>
      <c r="I879" s="53"/>
      <c r="J879" s="30"/>
      <c r="K879" s="78"/>
    </row>
    <row r="880" spans="1:11" s="22" customFormat="1" ht="24.95" customHeight="1" x14ac:dyDescent="0.25">
      <c r="A880" s="21"/>
      <c r="F880" s="1"/>
      <c r="G880" s="26"/>
      <c r="H880" s="18"/>
      <c r="I880" s="53"/>
      <c r="J880" s="30"/>
      <c r="K880" s="78"/>
    </row>
    <row r="881" spans="1:11" s="22" customFormat="1" ht="24.95" customHeight="1" x14ac:dyDescent="0.25">
      <c r="A881" s="21"/>
      <c r="F881" s="1"/>
      <c r="G881" s="26"/>
      <c r="H881" s="18"/>
      <c r="I881" s="53"/>
      <c r="J881" s="30"/>
      <c r="K881" s="78"/>
    </row>
    <row r="882" spans="1:11" s="22" customFormat="1" ht="24.95" customHeight="1" x14ac:dyDescent="0.25">
      <c r="A882" s="21"/>
      <c r="F882" s="1"/>
      <c r="G882" s="26"/>
      <c r="H882" s="18"/>
      <c r="I882" s="53"/>
      <c r="J882" s="30"/>
      <c r="K882" s="78"/>
    </row>
    <row r="883" spans="1:11" s="22" customFormat="1" ht="24.95" customHeight="1" x14ac:dyDescent="0.25">
      <c r="A883" s="21"/>
      <c r="F883" s="1"/>
      <c r="G883" s="26"/>
      <c r="H883" s="18"/>
      <c r="I883" s="53"/>
      <c r="J883" s="30"/>
      <c r="K883" s="78"/>
    </row>
    <row r="884" spans="1:11" s="22" customFormat="1" ht="24.95" customHeight="1" x14ac:dyDescent="0.25">
      <c r="A884" s="21"/>
      <c r="F884" s="1"/>
      <c r="G884" s="26"/>
      <c r="H884" s="18"/>
      <c r="I884" s="53"/>
      <c r="J884" s="30"/>
      <c r="K884" s="78"/>
    </row>
    <row r="885" spans="1:11" s="22" customFormat="1" ht="24.95" customHeight="1" x14ac:dyDescent="0.25">
      <c r="A885" s="21"/>
      <c r="F885" s="1"/>
      <c r="G885" s="26"/>
      <c r="H885" s="18"/>
      <c r="I885" s="53"/>
      <c r="J885" s="30"/>
      <c r="K885" s="78"/>
    </row>
    <row r="886" spans="1:11" s="22" customFormat="1" ht="24.95" customHeight="1" x14ac:dyDescent="0.25">
      <c r="A886" s="21"/>
      <c r="F886" s="1"/>
      <c r="G886" s="26"/>
      <c r="H886" s="18"/>
      <c r="I886" s="53"/>
      <c r="J886" s="30"/>
      <c r="K886" s="78"/>
    </row>
    <row r="887" spans="1:11" s="22" customFormat="1" ht="24.95" customHeight="1" x14ac:dyDescent="0.25">
      <c r="A887" s="21"/>
      <c r="F887" s="1"/>
      <c r="G887" s="26"/>
      <c r="H887" s="18"/>
      <c r="I887" s="53"/>
      <c r="J887" s="30"/>
      <c r="K887" s="78"/>
    </row>
    <row r="888" spans="1:11" s="22" customFormat="1" ht="24.95" customHeight="1" x14ac:dyDescent="0.25">
      <c r="A888" s="21"/>
      <c r="F888" s="1"/>
      <c r="G888" s="26"/>
      <c r="H888" s="18"/>
      <c r="I888" s="53"/>
      <c r="J888" s="30"/>
      <c r="K888" s="78"/>
    </row>
    <row r="889" spans="1:11" s="22" customFormat="1" ht="24.95" customHeight="1" x14ac:dyDescent="0.25">
      <c r="A889" s="21"/>
      <c r="F889" s="1"/>
      <c r="G889" s="26"/>
      <c r="H889" s="18"/>
      <c r="I889" s="53"/>
      <c r="J889" s="30"/>
      <c r="K889" s="78"/>
    </row>
    <row r="890" spans="1:11" s="22" customFormat="1" ht="24.95" customHeight="1" x14ac:dyDescent="0.25">
      <c r="A890" s="21"/>
      <c r="F890" s="1"/>
      <c r="G890" s="26"/>
      <c r="H890" s="18"/>
      <c r="I890" s="53"/>
      <c r="J890" s="30"/>
      <c r="K890" s="78"/>
    </row>
    <row r="891" spans="1:11" s="22" customFormat="1" ht="24.95" customHeight="1" x14ac:dyDescent="0.25">
      <c r="A891" s="21"/>
      <c r="F891" s="1"/>
      <c r="G891" s="26"/>
      <c r="H891" s="18"/>
      <c r="I891" s="53"/>
      <c r="J891" s="30"/>
      <c r="K891" s="78"/>
    </row>
    <row r="892" spans="1:11" s="22" customFormat="1" ht="24.95" customHeight="1" x14ac:dyDescent="0.25">
      <c r="A892" s="21"/>
      <c r="F892" s="1"/>
      <c r="G892" s="26"/>
      <c r="H892" s="18"/>
      <c r="I892" s="53"/>
      <c r="J892" s="30"/>
      <c r="K892" s="78"/>
    </row>
    <row r="893" spans="1:11" s="22" customFormat="1" ht="24.95" customHeight="1" x14ac:dyDescent="0.25">
      <c r="A893" s="21"/>
      <c r="F893" s="1"/>
      <c r="G893" s="26"/>
      <c r="H893" s="18"/>
      <c r="I893" s="53"/>
      <c r="J893" s="30"/>
      <c r="K893" s="78"/>
    </row>
    <row r="894" spans="1:11" s="22" customFormat="1" ht="24.95" customHeight="1" x14ac:dyDescent="0.25">
      <c r="A894" s="21"/>
      <c r="F894" s="1"/>
      <c r="G894" s="26"/>
      <c r="H894" s="18"/>
      <c r="I894" s="53"/>
      <c r="J894" s="30"/>
      <c r="K894" s="78"/>
    </row>
    <row r="895" spans="1:11" s="22" customFormat="1" ht="24.95" customHeight="1" x14ac:dyDescent="0.25">
      <c r="A895" s="21"/>
      <c r="F895" s="1"/>
      <c r="G895" s="26"/>
      <c r="H895" s="18"/>
      <c r="I895" s="53"/>
      <c r="J895" s="30"/>
      <c r="K895" s="78"/>
    </row>
    <row r="896" spans="1:11" s="22" customFormat="1" ht="24.95" customHeight="1" x14ac:dyDescent="0.25">
      <c r="A896" s="21"/>
      <c r="F896" s="1"/>
      <c r="G896" s="26"/>
      <c r="H896" s="18"/>
      <c r="I896" s="53"/>
      <c r="J896" s="30"/>
      <c r="K896" s="78"/>
    </row>
    <row r="897" spans="1:11" s="22" customFormat="1" ht="24.95" customHeight="1" x14ac:dyDescent="0.25">
      <c r="A897" s="21"/>
      <c r="F897" s="1"/>
      <c r="G897" s="26"/>
      <c r="H897" s="18"/>
      <c r="I897" s="53"/>
      <c r="J897" s="30"/>
      <c r="K897" s="78"/>
    </row>
    <row r="898" spans="1:11" s="22" customFormat="1" ht="24.95" customHeight="1" x14ac:dyDescent="0.25">
      <c r="A898" s="21"/>
      <c r="F898" s="1"/>
      <c r="G898" s="26"/>
      <c r="H898" s="18"/>
      <c r="I898" s="53"/>
      <c r="J898" s="30"/>
      <c r="K898" s="78"/>
    </row>
    <row r="899" spans="1:11" s="22" customFormat="1" ht="24.95" customHeight="1" x14ac:dyDescent="0.25">
      <c r="A899" s="21"/>
      <c r="F899" s="1"/>
      <c r="G899" s="26"/>
      <c r="H899" s="18"/>
      <c r="I899" s="53"/>
      <c r="J899" s="30"/>
      <c r="K899" s="78"/>
    </row>
    <row r="900" spans="1:11" s="22" customFormat="1" ht="24.95" customHeight="1" x14ac:dyDescent="0.25">
      <c r="A900" s="21"/>
      <c r="F900" s="1"/>
      <c r="G900" s="26"/>
      <c r="H900" s="18"/>
      <c r="I900" s="53"/>
      <c r="J900" s="30"/>
      <c r="K900" s="78"/>
    </row>
    <row r="901" spans="1:11" s="22" customFormat="1" ht="24.95" customHeight="1" x14ac:dyDescent="0.25">
      <c r="A901" s="21"/>
      <c r="F901" s="1"/>
      <c r="G901" s="26"/>
      <c r="H901" s="18"/>
      <c r="I901" s="53"/>
      <c r="J901" s="30"/>
      <c r="K901" s="78"/>
    </row>
    <row r="902" spans="1:11" s="22" customFormat="1" ht="24.95" customHeight="1" x14ac:dyDescent="0.25">
      <c r="A902" s="21"/>
      <c r="F902" s="1"/>
      <c r="G902" s="26"/>
      <c r="H902" s="18"/>
      <c r="I902" s="53"/>
      <c r="J902" s="30"/>
      <c r="K902" s="78"/>
    </row>
    <row r="903" spans="1:11" s="22" customFormat="1" ht="24.95" customHeight="1" x14ac:dyDescent="0.25">
      <c r="A903" s="21"/>
      <c r="F903" s="1"/>
      <c r="G903" s="26"/>
      <c r="H903" s="18"/>
      <c r="I903" s="53"/>
      <c r="J903" s="30"/>
      <c r="K903" s="78"/>
    </row>
    <row r="904" spans="1:11" s="22" customFormat="1" ht="24.95" customHeight="1" x14ac:dyDescent="0.25">
      <c r="A904" s="21"/>
      <c r="F904" s="1"/>
      <c r="G904" s="26"/>
      <c r="H904" s="18"/>
      <c r="I904" s="53"/>
      <c r="J904" s="30"/>
      <c r="K904" s="78"/>
    </row>
    <row r="905" spans="1:11" s="22" customFormat="1" ht="24.95" customHeight="1" x14ac:dyDescent="0.25">
      <c r="A905" s="21"/>
      <c r="F905" s="1"/>
      <c r="G905" s="26"/>
      <c r="H905" s="18"/>
      <c r="I905" s="53"/>
      <c r="J905" s="30"/>
      <c r="K905" s="78"/>
    </row>
    <row r="906" spans="1:11" s="22" customFormat="1" ht="24.95" customHeight="1" x14ac:dyDescent="0.25">
      <c r="A906" s="21"/>
      <c r="F906" s="1"/>
      <c r="G906" s="26"/>
      <c r="H906" s="18"/>
      <c r="I906" s="53"/>
      <c r="J906" s="30"/>
      <c r="K906" s="78"/>
    </row>
    <row r="907" spans="1:11" s="22" customFormat="1" ht="24.95" customHeight="1" x14ac:dyDescent="0.25">
      <c r="A907" s="21"/>
      <c r="F907" s="1"/>
      <c r="G907" s="26"/>
      <c r="H907" s="18"/>
      <c r="I907" s="53"/>
      <c r="J907" s="30"/>
      <c r="K907" s="78"/>
    </row>
    <row r="908" spans="1:11" s="22" customFormat="1" ht="24.95" customHeight="1" x14ac:dyDescent="0.25">
      <c r="A908" s="21"/>
      <c r="F908" s="1"/>
      <c r="G908" s="26"/>
      <c r="H908" s="18"/>
      <c r="I908" s="53"/>
      <c r="J908" s="30"/>
      <c r="K908" s="78"/>
    </row>
    <row r="909" spans="1:11" s="22" customFormat="1" ht="24.95" customHeight="1" x14ac:dyDescent="0.25">
      <c r="A909" s="21"/>
      <c r="F909" s="1"/>
      <c r="G909" s="26"/>
      <c r="H909" s="18"/>
      <c r="I909" s="53"/>
      <c r="J909" s="30"/>
      <c r="K909" s="78"/>
    </row>
    <row r="910" spans="1:11" s="22" customFormat="1" ht="24.95" customHeight="1" x14ac:dyDescent="0.25">
      <c r="A910" s="21"/>
      <c r="F910" s="1"/>
      <c r="G910" s="26"/>
      <c r="H910" s="18"/>
      <c r="I910" s="53"/>
      <c r="J910" s="30"/>
      <c r="K910" s="78"/>
    </row>
    <row r="911" spans="1:11" s="22" customFormat="1" ht="24.95" customHeight="1" x14ac:dyDescent="0.25">
      <c r="A911" s="21"/>
      <c r="F911" s="1"/>
      <c r="G911" s="26"/>
      <c r="H911" s="18"/>
      <c r="I911" s="53"/>
      <c r="J911" s="30"/>
      <c r="K911" s="78"/>
    </row>
    <row r="912" spans="1:11" s="22" customFormat="1" ht="24.95" customHeight="1" x14ac:dyDescent="0.25">
      <c r="A912" s="21"/>
      <c r="F912" s="1"/>
      <c r="G912" s="26"/>
      <c r="H912" s="18"/>
      <c r="I912" s="53"/>
      <c r="J912" s="30"/>
      <c r="K912" s="78"/>
    </row>
    <row r="913" spans="1:11" s="22" customFormat="1" ht="24.95" customHeight="1" x14ac:dyDescent="0.25">
      <c r="A913" s="21"/>
      <c r="F913" s="1"/>
      <c r="G913" s="26"/>
      <c r="H913" s="18"/>
      <c r="I913" s="53"/>
      <c r="J913" s="30"/>
      <c r="K913" s="78"/>
    </row>
    <row r="914" spans="1:11" s="22" customFormat="1" ht="24.95" customHeight="1" x14ac:dyDescent="0.25">
      <c r="A914" s="21"/>
      <c r="F914" s="1"/>
      <c r="G914" s="26"/>
      <c r="H914" s="18"/>
      <c r="I914" s="53"/>
      <c r="J914" s="30"/>
      <c r="K914" s="78"/>
    </row>
    <row r="915" spans="1:11" s="22" customFormat="1" ht="24.95" customHeight="1" x14ac:dyDescent="0.25">
      <c r="A915" s="21"/>
      <c r="F915" s="1"/>
      <c r="G915" s="26"/>
      <c r="H915" s="18"/>
      <c r="I915" s="53"/>
      <c r="J915" s="30"/>
      <c r="K915" s="78"/>
    </row>
    <row r="916" spans="1:11" s="22" customFormat="1" ht="24.95" customHeight="1" x14ac:dyDescent="0.25">
      <c r="A916" s="21"/>
      <c r="F916" s="1"/>
      <c r="G916" s="26"/>
      <c r="H916" s="18"/>
      <c r="I916" s="53"/>
      <c r="J916" s="30"/>
      <c r="K916" s="78"/>
    </row>
    <row r="917" spans="1:11" s="22" customFormat="1" ht="24.95" customHeight="1" x14ac:dyDescent="0.25">
      <c r="A917" s="21"/>
      <c r="F917" s="1"/>
      <c r="G917" s="26"/>
      <c r="H917" s="18"/>
      <c r="I917" s="53"/>
      <c r="J917" s="30"/>
      <c r="K917" s="78"/>
    </row>
    <row r="918" spans="1:11" s="22" customFormat="1" ht="24.95" customHeight="1" x14ac:dyDescent="0.25">
      <c r="A918" s="21"/>
      <c r="F918" s="1"/>
      <c r="G918" s="26"/>
      <c r="H918" s="18"/>
      <c r="I918" s="53"/>
      <c r="J918" s="30"/>
      <c r="K918" s="78"/>
    </row>
    <row r="919" spans="1:11" s="22" customFormat="1" ht="24.95" customHeight="1" x14ac:dyDescent="0.25">
      <c r="A919" s="21"/>
      <c r="F919" s="1"/>
      <c r="G919" s="26"/>
      <c r="H919" s="18"/>
      <c r="I919" s="53"/>
      <c r="J919" s="30"/>
      <c r="K919" s="78"/>
    </row>
    <row r="920" spans="1:11" s="22" customFormat="1" ht="24.95" customHeight="1" x14ac:dyDescent="0.25">
      <c r="A920" s="21"/>
      <c r="F920" s="1"/>
      <c r="G920" s="26"/>
      <c r="H920" s="18"/>
      <c r="I920" s="53"/>
      <c r="J920" s="30"/>
      <c r="K920" s="78"/>
    </row>
    <row r="921" spans="1:11" s="22" customFormat="1" ht="24.95" customHeight="1" x14ac:dyDescent="0.25">
      <c r="A921" s="21"/>
      <c r="F921" s="1"/>
      <c r="G921" s="26"/>
      <c r="H921" s="18"/>
      <c r="I921" s="53"/>
      <c r="J921" s="30"/>
      <c r="K921" s="78"/>
    </row>
    <row r="922" spans="1:11" s="22" customFormat="1" ht="24.95" customHeight="1" x14ac:dyDescent="0.25">
      <c r="A922" s="21"/>
      <c r="F922" s="1"/>
      <c r="G922" s="26"/>
      <c r="H922" s="18"/>
      <c r="I922" s="53"/>
      <c r="J922" s="30"/>
      <c r="K922" s="78"/>
    </row>
    <row r="923" spans="1:11" s="22" customFormat="1" ht="24.95" customHeight="1" x14ac:dyDescent="0.25">
      <c r="A923" s="21"/>
      <c r="F923" s="1"/>
      <c r="G923" s="26"/>
      <c r="H923" s="18"/>
      <c r="I923" s="53"/>
      <c r="J923" s="30"/>
      <c r="K923" s="78"/>
    </row>
    <row r="924" spans="1:11" s="22" customFormat="1" ht="24.95" customHeight="1" x14ac:dyDescent="0.25">
      <c r="A924" s="21"/>
      <c r="F924" s="1"/>
      <c r="G924" s="26"/>
      <c r="H924" s="18"/>
      <c r="I924" s="53"/>
      <c r="J924" s="30"/>
      <c r="K924" s="78"/>
    </row>
    <row r="925" spans="1:11" s="22" customFormat="1" ht="24.95" customHeight="1" x14ac:dyDescent="0.25">
      <c r="A925" s="21"/>
      <c r="F925" s="1"/>
      <c r="G925" s="26"/>
      <c r="H925" s="18"/>
      <c r="I925" s="53"/>
      <c r="J925" s="30"/>
      <c r="K925" s="78"/>
    </row>
    <row r="926" spans="1:11" s="22" customFormat="1" ht="24.95" customHeight="1" x14ac:dyDescent="0.25">
      <c r="A926" s="21"/>
      <c r="F926" s="1"/>
      <c r="G926" s="26"/>
      <c r="H926" s="18"/>
      <c r="I926" s="53"/>
      <c r="J926" s="30"/>
      <c r="K926" s="78"/>
    </row>
    <row r="927" spans="1:11" s="22" customFormat="1" ht="24.95" customHeight="1" x14ac:dyDescent="0.25">
      <c r="A927" s="21"/>
      <c r="F927" s="1"/>
      <c r="G927" s="26"/>
      <c r="H927" s="18"/>
      <c r="I927" s="53"/>
      <c r="J927" s="30"/>
      <c r="K927" s="78"/>
    </row>
    <row r="928" spans="1:11" s="22" customFormat="1" ht="24.95" customHeight="1" x14ac:dyDescent="0.25">
      <c r="A928" s="21"/>
      <c r="F928" s="1"/>
      <c r="G928" s="26"/>
      <c r="H928" s="18"/>
      <c r="I928" s="53"/>
      <c r="J928" s="30"/>
      <c r="K928" s="78"/>
    </row>
    <row r="929" spans="1:11" s="22" customFormat="1" ht="24.95" customHeight="1" x14ac:dyDescent="0.25">
      <c r="A929" s="21"/>
      <c r="F929" s="1"/>
      <c r="G929" s="26"/>
      <c r="H929" s="18"/>
      <c r="I929" s="53"/>
      <c r="J929" s="30"/>
      <c r="K929" s="78"/>
    </row>
    <row r="930" spans="1:11" s="22" customFormat="1" ht="24.95" customHeight="1" x14ac:dyDescent="0.25">
      <c r="A930" s="21"/>
      <c r="F930" s="1"/>
      <c r="G930" s="26"/>
      <c r="H930" s="18"/>
      <c r="I930" s="53"/>
      <c r="J930" s="30"/>
      <c r="K930" s="78"/>
    </row>
    <row r="931" spans="1:11" s="22" customFormat="1" ht="24.95" customHeight="1" x14ac:dyDescent="0.25">
      <c r="A931" s="21"/>
      <c r="F931" s="1"/>
      <c r="G931" s="26"/>
      <c r="H931" s="18"/>
      <c r="I931" s="53"/>
      <c r="J931" s="30"/>
      <c r="K931" s="78"/>
    </row>
    <row r="932" spans="1:11" s="22" customFormat="1" ht="24.95" customHeight="1" x14ac:dyDescent="0.25">
      <c r="A932" s="21"/>
      <c r="F932" s="1"/>
      <c r="G932" s="26"/>
      <c r="H932" s="18"/>
      <c r="I932" s="53"/>
      <c r="J932" s="30"/>
      <c r="K932" s="78"/>
    </row>
    <row r="933" spans="1:11" s="22" customFormat="1" ht="24.95" customHeight="1" x14ac:dyDescent="0.25">
      <c r="A933" s="21"/>
      <c r="F933" s="1"/>
      <c r="G933" s="26"/>
      <c r="H933" s="18"/>
      <c r="I933" s="53"/>
      <c r="J933" s="30"/>
      <c r="K933" s="78"/>
    </row>
    <row r="934" spans="1:11" s="22" customFormat="1" ht="24.95" customHeight="1" x14ac:dyDescent="0.25">
      <c r="A934" s="21"/>
      <c r="F934" s="1"/>
      <c r="G934" s="26"/>
      <c r="H934" s="18"/>
      <c r="I934" s="53"/>
      <c r="J934" s="30"/>
      <c r="K934" s="78"/>
    </row>
    <row r="935" spans="1:11" s="22" customFormat="1" ht="24.95" customHeight="1" x14ac:dyDescent="0.25">
      <c r="A935" s="21"/>
      <c r="F935" s="1"/>
      <c r="G935" s="26"/>
      <c r="H935" s="18"/>
      <c r="I935" s="53"/>
      <c r="J935" s="30"/>
      <c r="K935" s="78"/>
    </row>
    <row r="936" spans="1:11" s="22" customFormat="1" ht="24.95" customHeight="1" x14ac:dyDescent="0.25">
      <c r="A936" s="21"/>
      <c r="F936" s="1"/>
      <c r="G936" s="26"/>
      <c r="H936" s="18"/>
      <c r="I936" s="53"/>
      <c r="J936" s="30"/>
      <c r="K936" s="78"/>
    </row>
    <row r="937" spans="1:11" s="22" customFormat="1" ht="24.95" customHeight="1" x14ac:dyDescent="0.25">
      <c r="A937" s="21"/>
      <c r="F937" s="1"/>
      <c r="G937" s="26"/>
      <c r="H937" s="18"/>
      <c r="I937" s="53"/>
      <c r="J937" s="30"/>
      <c r="K937" s="78"/>
    </row>
    <row r="938" spans="1:11" s="22" customFormat="1" ht="24.95" customHeight="1" x14ac:dyDescent="0.25">
      <c r="A938" s="21"/>
      <c r="F938" s="1"/>
      <c r="G938" s="26"/>
      <c r="H938" s="18"/>
      <c r="I938" s="53"/>
      <c r="J938" s="30"/>
      <c r="K938" s="78"/>
    </row>
    <row r="939" spans="1:11" s="22" customFormat="1" ht="24.95" customHeight="1" x14ac:dyDescent="0.25">
      <c r="A939" s="21"/>
      <c r="F939" s="1"/>
      <c r="G939" s="26"/>
      <c r="H939" s="18"/>
      <c r="I939" s="53"/>
      <c r="J939" s="30"/>
      <c r="K939" s="78"/>
    </row>
    <row r="940" spans="1:11" s="22" customFormat="1" ht="24.95" customHeight="1" x14ac:dyDescent="0.25">
      <c r="A940" s="21"/>
      <c r="F940" s="1"/>
      <c r="G940" s="26"/>
      <c r="H940" s="18"/>
      <c r="I940" s="53"/>
      <c r="J940" s="30"/>
      <c r="K940" s="78"/>
    </row>
    <row r="941" spans="1:11" s="22" customFormat="1" ht="24.95" customHeight="1" x14ac:dyDescent="0.25">
      <c r="A941" s="21"/>
      <c r="F941" s="1"/>
      <c r="G941" s="26"/>
      <c r="H941" s="18"/>
      <c r="I941" s="53"/>
      <c r="J941" s="30"/>
      <c r="K941" s="78"/>
    </row>
    <row r="942" spans="1:11" s="22" customFormat="1" ht="24.95" customHeight="1" x14ac:dyDescent="0.25">
      <c r="A942" s="21"/>
      <c r="F942" s="1"/>
      <c r="G942" s="26"/>
      <c r="H942" s="18"/>
      <c r="I942" s="53"/>
      <c r="J942" s="30"/>
      <c r="K942" s="78"/>
    </row>
    <row r="943" spans="1:11" s="22" customFormat="1" ht="24.95" customHeight="1" x14ac:dyDescent="0.25">
      <c r="A943" s="21"/>
      <c r="F943" s="1"/>
      <c r="G943" s="26"/>
      <c r="H943" s="18"/>
      <c r="I943" s="53"/>
      <c r="J943" s="30"/>
      <c r="K943" s="78"/>
    </row>
    <row r="944" spans="1:11" s="22" customFormat="1" ht="24.95" customHeight="1" x14ac:dyDescent="0.25">
      <c r="A944" s="21"/>
      <c r="F944" s="1"/>
      <c r="G944" s="26"/>
      <c r="H944" s="18"/>
      <c r="I944" s="53"/>
      <c r="J944" s="30"/>
      <c r="K944" s="78"/>
    </row>
    <row r="945" spans="1:11" s="22" customFormat="1" ht="24.95" customHeight="1" x14ac:dyDescent="0.25">
      <c r="A945" s="21"/>
      <c r="F945" s="1"/>
      <c r="G945" s="26"/>
      <c r="H945" s="18"/>
      <c r="I945" s="53"/>
      <c r="J945" s="30"/>
      <c r="K945" s="78"/>
    </row>
    <row r="946" spans="1:11" s="22" customFormat="1" ht="24.95" customHeight="1" x14ac:dyDescent="0.25">
      <c r="A946" s="21"/>
      <c r="F946" s="1"/>
      <c r="G946" s="26"/>
      <c r="H946" s="18"/>
      <c r="I946" s="53"/>
      <c r="J946" s="30"/>
      <c r="K946" s="78"/>
    </row>
    <row r="947" spans="1:11" s="22" customFormat="1" ht="24.95" customHeight="1" x14ac:dyDescent="0.25">
      <c r="A947" s="21"/>
      <c r="F947" s="1"/>
      <c r="G947" s="26"/>
      <c r="H947" s="18"/>
      <c r="I947" s="53"/>
      <c r="J947" s="30"/>
      <c r="K947" s="78"/>
    </row>
    <row r="948" spans="1:11" s="22" customFormat="1" ht="24.95" customHeight="1" x14ac:dyDescent="0.25">
      <c r="A948" s="21"/>
      <c r="F948" s="1"/>
      <c r="G948" s="26"/>
      <c r="H948" s="18"/>
      <c r="I948" s="53"/>
      <c r="J948" s="30"/>
      <c r="K948" s="78"/>
    </row>
    <row r="949" spans="1:11" s="22" customFormat="1" ht="24.95" customHeight="1" x14ac:dyDescent="0.25">
      <c r="A949" s="21"/>
      <c r="F949" s="1"/>
      <c r="G949" s="26"/>
      <c r="H949" s="18"/>
      <c r="I949" s="53"/>
      <c r="J949" s="30"/>
      <c r="K949" s="78"/>
    </row>
    <row r="950" spans="1:11" s="22" customFormat="1" ht="24.95" customHeight="1" x14ac:dyDescent="0.25">
      <c r="A950" s="21"/>
      <c r="F950" s="1"/>
      <c r="G950" s="26"/>
      <c r="H950" s="18"/>
      <c r="I950" s="53"/>
      <c r="J950" s="30"/>
      <c r="K950" s="78"/>
    </row>
    <row r="951" spans="1:11" s="22" customFormat="1" ht="24.95" customHeight="1" x14ac:dyDescent="0.25">
      <c r="A951" s="21"/>
      <c r="F951" s="1"/>
      <c r="G951" s="26"/>
      <c r="H951" s="18"/>
      <c r="I951" s="53"/>
      <c r="J951" s="30"/>
      <c r="K951" s="78"/>
    </row>
    <row r="952" spans="1:11" s="22" customFormat="1" ht="24.95" customHeight="1" x14ac:dyDescent="0.25">
      <c r="A952" s="21"/>
      <c r="F952" s="1"/>
      <c r="G952" s="26"/>
      <c r="H952" s="18"/>
      <c r="I952" s="53"/>
      <c r="J952" s="30"/>
      <c r="K952" s="78"/>
    </row>
    <row r="953" spans="1:11" s="22" customFormat="1" ht="24.95" customHeight="1" x14ac:dyDescent="0.25">
      <c r="A953" s="21"/>
      <c r="F953" s="1"/>
      <c r="G953" s="26"/>
      <c r="H953" s="18"/>
      <c r="I953" s="53"/>
      <c r="J953" s="30"/>
      <c r="K953" s="78"/>
    </row>
    <row r="954" spans="1:11" s="22" customFormat="1" ht="24.95" customHeight="1" x14ac:dyDescent="0.25">
      <c r="A954" s="21"/>
      <c r="F954" s="1"/>
      <c r="G954" s="26"/>
      <c r="H954" s="18"/>
      <c r="I954" s="53"/>
      <c r="J954" s="30"/>
      <c r="K954" s="78"/>
    </row>
    <row r="955" spans="1:11" s="22" customFormat="1" ht="24.95" customHeight="1" x14ac:dyDescent="0.25">
      <c r="A955" s="21"/>
      <c r="F955" s="1"/>
      <c r="G955" s="26"/>
      <c r="H955" s="18"/>
      <c r="I955" s="53"/>
      <c r="J955" s="30"/>
      <c r="K955" s="78"/>
    </row>
    <row r="956" spans="1:11" s="22" customFormat="1" ht="24.95" customHeight="1" x14ac:dyDescent="0.25">
      <c r="A956" s="21"/>
      <c r="F956" s="1"/>
      <c r="G956" s="26"/>
      <c r="H956" s="18"/>
      <c r="I956" s="53"/>
      <c r="J956" s="30"/>
      <c r="K956" s="78"/>
    </row>
    <row r="957" spans="1:11" s="22" customFormat="1" ht="24.95" customHeight="1" x14ac:dyDescent="0.25">
      <c r="A957" s="21"/>
      <c r="F957" s="1"/>
      <c r="G957" s="26"/>
      <c r="H957" s="18"/>
      <c r="I957" s="53"/>
      <c r="J957" s="30"/>
      <c r="K957" s="78"/>
    </row>
    <row r="958" spans="1:11" s="22" customFormat="1" ht="24.95" customHeight="1" x14ac:dyDescent="0.25">
      <c r="A958" s="21"/>
      <c r="F958" s="1"/>
      <c r="G958" s="26"/>
      <c r="H958" s="18"/>
      <c r="I958" s="53"/>
      <c r="J958" s="30"/>
      <c r="K958" s="78"/>
    </row>
    <row r="959" spans="1:11" s="22" customFormat="1" ht="24.95" customHeight="1" x14ac:dyDescent="0.25">
      <c r="A959" s="21"/>
      <c r="F959" s="1"/>
      <c r="G959" s="26"/>
      <c r="H959" s="18"/>
      <c r="I959" s="53"/>
      <c r="J959" s="30"/>
      <c r="K959" s="78"/>
    </row>
    <row r="960" spans="1:11" s="22" customFormat="1" ht="24.95" customHeight="1" x14ac:dyDescent="0.25">
      <c r="A960" s="21"/>
      <c r="F960" s="1"/>
      <c r="G960" s="26"/>
      <c r="H960" s="18"/>
      <c r="I960" s="53"/>
      <c r="J960" s="30"/>
      <c r="K960" s="78"/>
    </row>
    <row r="961" spans="1:11" s="22" customFormat="1" ht="24.95" customHeight="1" x14ac:dyDescent="0.25">
      <c r="A961" s="21"/>
      <c r="F961" s="1"/>
      <c r="G961" s="26"/>
      <c r="H961" s="18"/>
      <c r="I961" s="53"/>
      <c r="J961" s="30"/>
      <c r="K961" s="78"/>
    </row>
    <row r="962" spans="1:11" s="22" customFormat="1" ht="24.95" customHeight="1" x14ac:dyDescent="0.25">
      <c r="A962" s="21"/>
      <c r="F962" s="1"/>
      <c r="G962" s="26"/>
      <c r="H962" s="18"/>
      <c r="I962" s="53"/>
      <c r="J962" s="30"/>
      <c r="K962" s="78"/>
    </row>
    <row r="963" spans="1:11" s="22" customFormat="1" ht="24.95" customHeight="1" x14ac:dyDescent="0.25">
      <c r="A963" s="21"/>
      <c r="F963" s="1"/>
      <c r="G963" s="26"/>
      <c r="H963" s="18"/>
      <c r="I963" s="53"/>
      <c r="J963" s="30"/>
      <c r="K963" s="78"/>
    </row>
    <row r="964" spans="1:11" s="22" customFormat="1" ht="24.95" customHeight="1" x14ac:dyDescent="0.25">
      <c r="A964" s="21"/>
      <c r="F964" s="1"/>
      <c r="G964" s="26"/>
      <c r="H964" s="18"/>
      <c r="I964" s="53"/>
      <c r="J964" s="30"/>
      <c r="K964" s="78"/>
    </row>
    <row r="965" spans="1:11" s="22" customFormat="1" ht="24.95" customHeight="1" x14ac:dyDescent="0.25">
      <c r="A965" s="21"/>
      <c r="F965" s="1"/>
      <c r="G965" s="26"/>
      <c r="H965" s="18"/>
      <c r="I965" s="53"/>
      <c r="J965" s="30"/>
      <c r="K965" s="78"/>
    </row>
    <row r="966" spans="1:11" s="22" customFormat="1" ht="24.95" customHeight="1" x14ac:dyDescent="0.25">
      <c r="A966" s="21"/>
      <c r="F966" s="1"/>
      <c r="G966" s="26"/>
      <c r="H966" s="18"/>
      <c r="I966" s="53"/>
      <c r="J966" s="30"/>
      <c r="K966" s="78"/>
    </row>
    <row r="967" spans="1:11" s="22" customFormat="1" ht="24.95" customHeight="1" x14ac:dyDescent="0.25">
      <c r="A967" s="21"/>
      <c r="F967" s="1"/>
      <c r="G967" s="26"/>
      <c r="H967" s="18"/>
      <c r="I967" s="53"/>
      <c r="J967" s="30"/>
      <c r="K967" s="78"/>
    </row>
    <row r="968" spans="1:11" s="22" customFormat="1" ht="24.95" customHeight="1" x14ac:dyDescent="0.25">
      <c r="A968" s="21"/>
      <c r="F968" s="1"/>
      <c r="G968" s="26"/>
      <c r="H968" s="18"/>
      <c r="I968" s="53"/>
      <c r="J968" s="30"/>
      <c r="K968" s="78"/>
    </row>
    <row r="969" spans="1:11" s="22" customFormat="1" ht="24.95" customHeight="1" x14ac:dyDescent="0.25">
      <c r="A969" s="21"/>
      <c r="F969" s="1"/>
      <c r="G969" s="26"/>
      <c r="H969" s="18"/>
      <c r="I969" s="53"/>
      <c r="J969" s="30"/>
      <c r="K969" s="78"/>
    </row>
    <row r="970" spans="1:11" s="22" customFormat="1" ht="24.95" customHeight="1" x14ac:dyDescent="0.25">
      <c r="A970" s="21"/>
      <c r="F970" s="1"/>
      <c r="G970" s="26"/>
      <c r="H970" s="18"/>
      <c r="I970" s="53"/>
      <c r="J970" s="30"/>
      <c r="K970" s="78"/>
    </row>
    <row r="971" spans="1:11" s="22" customFormat="1" ht="24.95" customHeight="1" x14ac:dyDescent="0.25">
      <c r="A971" s="21"/>
      <c r="F971" s="1"/>
      <c r="G971" s="26"/>
      <c r="H971" s="18"/>
      <c r="I971" s="53"/>
      <c r="J971" s="30"/>
      <c r="K971" s="78"/>
    </row>
    <row r="972" spans="1:11" s="22" customFormat="1" ht="24.95" customHeight="1" x14ac:dyDescent="0.25">
      <c r="A972" s="21"/>
      <c r="F972" s="1"/>
      <c r="G972" s="26"/>
      <c r="H972" s="18"/>
      <c r="I972" s="53"/>
      <c r="J972" s="30"/>
      <c r="K972" s="78"/>
    </row>
    <row r="973" spans="1:11" s="22" customFormat="1" ht="24.95" customHeight="1" x14ac:dyDescent="0.25">
      <c r="A973" s="21"/>
      <c r="F973" s="1"/>
      <c r="G973" s="26"/>
      <c r="H973" s="18"/>
      <c r="I973" s="53"/>
      <c r="J973" s="30"/>
      <c r="K973" s="78"/>
    </row>
    <row r="974" spans="1:11" s="22" customFormat="1" ht="24.95" customHeight="1" x14ac:dyDescent="0.25">
      <c r="A974" s="21"/>
      <c r="F974" s="1"/>
      <c r="G974" s="26"/>
      <c r="H974" s="18"/>
      <c r="I974" s="53"/>
      <c r="J974" s="30"/>
      <c r="K974" s="78"/>
    </row>
    <row r="975" spans="1:11" s="22" customFormat="1" ht="24.95" customHeight="1" x14ac:dyDescent="0.25">
      <c r="A975" s="21"/>
      <c r="F975" s="1"/>
      <c r="G975" s="26"/>
      <c r="H975" s="18"/>
      <c r="I975" s="53"/>
      <c r="J975" s="30"/>
      <c r="K975" s="78"/>
    </row>
    <row r="976" spans="1:11" s="22" customFormat="1" ht="24.95" customHeight="1" x14ac:dyDescent="0.25">
      <c r="A976" s="21"/>
      <c r="F976" s="1"/>
      <c r="G976" s="26"/>
      <c r="H976" s="18"/>
      <c r="I976" s="53"/>
      <c r="J976" s="30"/>
      <c r="K976" s="78"/>
    </row>
    <row r="977" spans="1:11" s="22" customFormat="1" ht="24.95" customHeight="1" x14ac:dyDescent="0.25">
      <c r="A977" s="21"/>
      <c r="F977" s="1"/>
      <c r="G977" s="26"/>
      <c r="H977" s="18"/>
      <c r="I977" s="53"/>
      <c r="J977" s="30"/>
      <c r="K977" s="78"/>
    </row>
    <row r="978" spans="1:11" s="22" customFormat="1" ht="24.95" customHeight="1" x14ac:dyDescent="0.25">
      <c r="A978" s="21"/>
      <c r="F978" s="1"/>
      <c r="G978" s="26"/>
      <c r="H978" s="18"/>
      <c r="I978" s="53"/>
      <c r="J978" s="30"/>
      <c r="K978" s="78"/>
    </row>
    <row r="979" spans="1:11" s="22" customFormat="1" ht="24.95" customHeight="1" x14ac:dyDescent="0.25">
      <c r="A979" s="21"/>
      <c r="F979" s="1"/>
      <c r="G979" s="26"/>
      <c r="H979" s="18"/>
      <c r="I979" s="53"/>
      <c r="J979" s="30"/>
      <c r="K979" s="78"/>
    </row>
    <row r="980" spans="1:11" s="22" customFormat="1" ht="24.95" customHeight="1" x14ac:dyDescent="0.25">
      <c r="A980" s="21"/>
      <c r="F980" s="1"/>
      <c r="G980" s="26"/>
      <c r="H980" s="18"/>
      <c r="I980" s="53"/>
      <c r="J980" s="30"/>
      <c r="K980" s="78"/>
    </row>
    <row r="981" spans="1:11" s="22" customFormat="1" ht="24.95" customHeight="1" x14ac:dyDescent="0.25">
      <c r="A981" s="21"/>
      <c r="F981" s="1"/>
      <c r="G981" s="26"/>
      <c r="H981" s="18"/>
      <c r="I981" s="53"/>
      <c r="J981" s="30"/>
      <c r="K981" s="78"/>
    </row>
    <row r="982" spans="1:11" s="22" customFormat="1" ht="24.95" customHeight="1" x14ac:dyDescent="0.25">
      <c r="A982" s="21"/>
      <c r="F982" s="1"/>
      <c r="G982" s="26"/>
      <c r="H982" s="18"/>
      <c r="I982" s="53"/>
      <c r="J982" s="30"/>
      <c r="K982" s="78"/>
    </row>
    <row r="983" spans="1:11" s="22" customFormat="1" ht="24.95" customHeight="1" x14ac:dyDescent="0.25">
      <c r="A983" s="21"/>
      <c r="F983" s="1"/>
      <c r="G983" s="26"/>
      <c r="H983" s="18"/>
      <c r="I983" s="53"/>
      <c r="J983" s="30"/>
      <c r="K983" s="78"/>
    </row>
    <row r="984" spans="1:11" s="22" customFormat="1" ht="24.95" customHeight="1" x14ac:dyDescent="0.25">
      <c r="A984" s="21"/>
      <c r="F984" s="1"/>
      <c r="G984" s="26"/>
      <c r="H984" s="18"/>
      <c r="I984" s="53"/>
      <c r="J984" s="30"/>
      <c r="K984" s="78"/>
    </row>
    <row r="985" spans="1:11" s="22" customFormat="1" ht="24.95" customHeight="1" x14ac:dyDescent="0.25">
      <c r="A985" s="21"/>
      <c r="F985" s="1"/>
      <c r="G985" s="26"/>
      <c r="H985" s="18"/>
      <c r="I985" s="53"/>
      <c r="J985" s="30"/>
      <c r="K985" s="78"/>
    </row>
    <row r="986" spans="1:11" s="22" customFormat="1" ht="24.95" customHeight="1" x14ac:dyDescent="0.25">
      <c r="A986" s="21"/>
      <c r="F986" s="1"/>
      <c r="G986" s="26"/>
      <c r="H986" s="18"/>
      <c r="I986" s="53"/>
      <c r="J986" s="30"/>
      <c r="K986" s="78"/>
    </row>
    <row r="987" spans="1:11" s="22" customFormat="1" ht="24.95" customHeight="1" x14ac:dyDescent="0.25">
      <c r="A987" s="21"/>
      <c r="F987" s="1"/>
      <c r="G987" s="26"/>
      <c r="H987" s="18"/>
      <c r="I987" s="53"/>
      <c r="J987" s="30"/>
      <c r="K987" s="78"/>
    </row>
    <row r="988" spans="1:11" s="22" customFormat="1" ht="24.95" customHeight="1" x14ac:dyDescent="0.25">
      <c r="A988" s="21"/>
      <c r="F988" s="1"/>
      <c r="G988" s="26"/>
      <c r="H988" s="18"/>
      <c r="I988" s="53"/>
      <c r="J988" s="30"/>
      <c r="K988" s="78"/>
    </row>
    <row r="989" spans="1:11" s="22" customFormat="1" ht="24.95" customHeight="1" x14ac:dyDescent="0.25">
      <c r="A989" s="21"/>
      <c r="F989" s="1"/>
      <c r="G989" s="26"/>
      <c r="H989" s="18"/>
      <c r="I989" s="53"/>
      <c r="J989" s="30"/>
      <c r="K989" s="78"/>
    </row>
    <row r="990" spans="1:11" s="22" customFormat="1" ht="24.95" customHeight="1" x14ac:dyDescent="0.25">
      <c r="A990" s="21"/>
      <c r="F990" s="1"/>
      <c r="G990" s="26"/>
      <c r="H990" s="18"/>
      <c r="I990" s="53"/>
      <c r="J990" s="30"/>
      <c r="K990" s="78"/>
    </row>
    <row r="991" spans="1:11" s="22" customFormat="1" ht="24.95" customHeight="1" x14ac:dyDescent="0.25">
      <c r="A991" s="21"/>
      <c r="F991" s="1"/>
      <c r="G991" s="26"/>
      <c r="H991" s="18"/>
      <c r="I991" s="53"/>
      <c r="J991" s="30"/>
      <c r="K991" s="78"/>
    </row>
    <row r="992" spans="1:11" s="22" customFormat="1" ht="24.95" customHeight="1" x14ac:dyDescent="0.25">
      <c r="A992" s="21"/>
      <c r="F992" s="1"/>
      <c r="G992" s="26"/>
      <c r="H992" s="18"/>
      <c r="I992" s="53"/>
      <c r="J992" s="30"/>
      <c r="K992" s="78"/>
    </row>
    <row r="993" spans="1:11" s="22" customFormat="1" ht="24.95" customHeight="1" x14ac:dyDescent="0.25">
      <c r="A993" s="21"/>
      <c r="F993" s="1"/>
      <c r="G993" s="26"/>
      <c r="H993" s="18"/>
      <c r="I993" s="53"/>
      <c r="J993" s="30"/>
      <c r="K993" s="78"/>
    </row>
    <row r="994" spans="1:11" s="22" customFormat="1" ht="24.95" customHeight="1" x14ac:dyDescent="0.25">
      <c r="A994" s="21"/>
      <c r="F994" s="1"/>
      <c r="G994" s="26"/>
      <c r="H994" s="18"/>
      <c r="I994" s="53"/>
      <c r="J994" s="30"/>
      <c r="K994" s="78"/>
    </row>
    <row r="995" spans="1:11" s="22" customFormat="1" ht="24.95" customHeight="1" x14ac:dyDescent="0.25">
      <c r="A995" s="21"/>
      <c r="F995" s="1"/>
      <c r="G995" s="26"/>
      <c r="H995" s="18"/>
      <c r="I995" s="53"/>
      <c r="J995" s="30"/>
      <c r="K995" s="78"/>
    </row>
    <row r="996" spans="1:11" s="22" customFormat="1" ht="24.95" customHeight="1" x14ac:dyDescent="0.25">
      <c r="A996" s="21"/>
      <c r="F996" s="1"/>
      <c r="G996" s="26"/>
      <c r="H996" s="18"/>
      <c r="I996" s="53"/>
      <c r="J996" s="30"/>
      <c r="K996" s="78"/>
    </row>
    <row r="997" spans="1:11" s="22" customFormat="1" ht="24.95" customHeight="1" x14ac:dyDescent="0.25">
      <c r="A997" s="21"/>
      <c r="F997" s="1"/>
      <c r="G997" s="26"/>
      <c r="H997" s="18"/>
      <c r="I997" s="53"/>
      <c r="J997" s="30"/>
      <c r="K997" s="78"/>
    </row>
    <row r="998" spans="1:11" ht="24.95" customHeight="1" x14ac:dyDescent="0.3">
      <c r="A998" s="23" t="s">
        <v>75</v>
      </c>
      <c r="B998" s="23"/>
      <c r="C998" s="23"/>
      <c r="D998" s="23"/>
      <c r="E998" s="23"/>
      <c r="F998" s="24"/>
      <c r="G998" s="27">
        <f>SUBTOTAL(109,Tablo17106121316182022242[SATIŞ TUTARI])</f>
        <v>0</v>
      </c>
      <c r="H998" s="24"/>
      <c r="I998" s="24"/>
      <c r="J998" s="29"/>
      <c r="K998" s="77"/>
    </row>
  </sheetData>
  <mergeCells count="1">
    <mergeCell ref="A8:K8"/>
  </mergeCells>
  <conditionalFormatting sqref="F10:F997">
    <cfRule type="cellIs" dxfId="38" priority="1" operator="equal">
      <formula>"BEKLEMEDE"</formula>
    </cfRule>
  </conditionalFormatting>
  <conditionalFormatting sqref="F10:G997">
    <cfRule type="cellIs" dxfId="37" priority="6" operator="equal">
      <formula>"DEVAM EDİYOR"</formula>
    </cfRule>
    <cfRule type="cellIs" dxfId="36" priority="7" operator="equal">
      <formula>"İPTAL EDİLDİ"</formula>
    </cfRule>
    <cfRule type="cellIs" dxfId="35" priority="8" operator="equal">
      <formula>"TESLİM EDİLDİ"</formula>
    </cfRule>
  </conditionalFormatting>
  <conditionalFormatting sqref="H306:I997">
    <cfRule type="containsText" dxfId="34" priority="2" operator="containsText" text="ÖDENMEDİ">
      <formula>NOT(ISERROR(SEARCH("ÖDENMEDİ",H306)))</formula>
    </cfRule>
    <cfRule type="containsText" dxfId="33" priority="3" operator="containsText" text="ÖDEME ALINDI">
      <formula>NOT(ISERROR(SEARCH("ÖDEME ALINDI",H306)))</formula>
    </cfRule>
  </conditionalFormatting>
  <conditionalFormatting sqref="H10:J305 J306:J997">
    <cfRule type="containsText" dxfId="32" priority="4" operator="containsText" text="ÖDENMEDİ">
      <formula>NOT(ISERROR(SEARCH("ÖDENMEDİ",H10)))</formula>
    </cfRule>
    <cfRule type="containsText" dxfId="31" priority="5" operator="containsText" text="ÖDEME ALINDI">
      <formula>NOT(ISERROR(SEARCH("ÖDEME ALINDI",H10)))</formula>
    </cfRule>
  </conditionalFormatting>
  <pageMargins left="0.7" right="0.7" top="0.75" bottom="0.75" header="0.3" footer="0.3"/>
  <pageSetup paperSize="9" scale="25" fitToHeight="0" orientation="portrait"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ErrorMessage="1" xr:uid="{05E89D45-DFCA-4CF9-B53C-D3E3185C6F2F}">
          <x14:formula1>
            <xm:f>DONE!$D$3:$D$112</xm:f>
          </x14:formula1>
          <xm:sqref>C10:C997</xm:sqref>
        </x14:dataValidation>
        <x14:dataValidation type="list" allowBlank="1" showInputMessage="1" showErrorMessage="1" xr:uid="{9F4AF5BC-3F07-4832-A6F1-F439837CE752}">
          <x14:formula1>
            <xm:f>DONE!$F$3:$F$6</xm:f>
          </x14:formula1>
          <xm:sqref>F10:F997</xm:sqref>
        </x14:dataValidation>
        <x14:dataValidation type="list" allowBlank="1" showInputMessage="1" showErrorMessage="1" xr:uid="{4B1F9891-AE36-4B3B-B575-67016D9867E7}">
          <x14:formula1>
            <xm:f>DONE!$G$3:$G$4</xm:f>
          </x14:formula1>
          <xm:sqref>H10:H997</xm:sqref>
        </x14:dataValidation>
        <x14:dataValidation type="list" allowBlank="1" showInputMessage="1" showErrorMessage="1" xr:uid="{1DC42A89-A86B-4E02-A4D3-C1FA296829BA}">
          <x14:formula1>
            <xm:f>DONE!$E$3:$E$12</xm:f>
          </x14:formula1>
          <xm:sqref>E10:E997</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D6D5-E180-4057-A9F7-9864895272CD}">
  <sheetPr codeName="Sayfa4">
    <tabColor rgb="FF92D050"/>
  </sheetPr>
  <dimension ref="A1:Q1000"/>
  <sheetViews>
    <sheetView topLeftCell="K1" workbookViewId="0">
      <selection activeCell="P5" sqref="P5:P6"/>
    </sheetView>
  </sheetViews>
  <sheetFormatPr defaultColWidth="14.42578125" defaultRowHeight="15" customHeight="1" x14ac:dyDescent="0.25"/>
  <cols>
    <col min="1" max="5" width="8.7109375" style="54" hidden="1" customWidth="1"/>
    <col min="6" max="6" width="4.5703125" style="54" hidden="1" customWidth="1"/>
    <col min="7" max="7" width="22" style="54" hidden="1" customWidth="1"/>
    <col min="8" max="8" width="12.140625" style="54" hidden="1" customWidth="1"/>
    <col min="9" max="9" width="16.85546875" style="54" hidden="1" customWidth="1"/>
    <col min="10" max="10" width="12.42578125" style="54" hidden="1" customWidth="1"/>
    <col min="11" max="11" width="5.7109375" style="54" customWidth="1"/>
    <col min="12" max="12" width="19.42578125" style="54" customWidth="1"/>
    <col min="13" max="13" width="11.28515625" style="54" customWidth="1"/>
    <col min="14" max="14" width="5.28515625" style="54" customWidth="1"/>
    <col min="15" max="15" width="16.140625" style="54" customWidth="1"/>
    <col min="16" max="16" width="9.7109375" style="54" customWidth="1"/>
    <col min="17" max="17" width="12.42578125" style="54" customWidth="1"/>
    <col min="18" max="26" width="8.7109375" style="54" customWidth="1"/>
    <col min="27" max="16384" width="14.42578125" style="54"/>
  </cols>
  <sheetData>
    <row r="1" spans="1:17" ht="30" customHeight="1" thickBot="1" x14ac:dyDescent="0.3">
      <c r="G1" s="107" t="s">
        <v>35</v>
      </c>
      <c r="H1" s="108"/>
      <c r="I1" s="108"/>
      <c r="J1" s="109"/>
      <c r="L1" s="55"/>
      <c r="O1" s="56" t="s">
        <v>36</v>
      </c>
    </row>
    <row r="2" spans="1:17" x14ac:dyDescent="0.25">
      <c r="A2" s="110" t="s">
        <v>37</v>
      </c>
      <c r="B2" s="111"/>
      <c r="C2" s="111"/>
      <c r="D2" s="111"/>
      <c r="E2" s="112"/>
      <c r="G2" s="57" t="s">
        <v>38</v>
      </c>
      <c r="H2" s="57" t="s">
        <v>39</v>
      </c>
      <c r="I2" s="58" t="s">
        <v>38</v>
      </c>
      <c r="J2" s="57" t="s">
        <v>40</v>
      </c>
      <c r="L2" s="57" t="s">
        <v>38</v>
      </c>
      <c r="M2" s="57" t="s">
        <v>39</v>
      </c>
      <c r="P2" s="55"/>
    </row>
    <row r="3" spans="1:17" x14ac:dyDescent="0.25">
      <c r="A3" s="59">
        <v>0</v>
      </c>
      <c r="B3" s="60">
        <v>250</v>
      </c>
      <c r="C3" s="60">
        <v>0.3</v>
      </c>
      <c r="D3" s="61">
        <v>250</v>
      </c>
      <c r="E3" s="62">
        <f t="shared" ref="E3:E10" si="0">D3*C3</f>
        <v>75</v>
      </c>
      <c r="G3" s="63" t="s">
        <v>41</v>
      </c>
      <c r="H3" s="64">
        <v>0.3</v>
      </c>
      <c r="I3" s="65"/>
      <c r="J3" s="66">
        <f t="shared" ref="J3:J10" si="1">+H3*I3</f>
        <v>0</v>
      </c>
      <c r="L3" s="63" t="s">
        <v>41</v>
      </c>
      <c r="M3" s="64">
        <v>0.3</v>
      </c>
      <c r="O3" s="63" t="s">
        <v>42</v>
      </c>
      <c r="P3" s="67"/>
      <c r="Q3" s="68">
        <f>IF(P3="0,00 TL","",M3*P3)*1.25+300</f>
        <v>300</v>
      </c>
    </row>
    <row r="4" spans="1:17" x14ac:dyDescent="0.25">
      <c r="A4" s="59">
        <v>250</v>
      </c>
      <c r="B4" s="60">
        <v>500</v>
      </c>
      <c r="C4" s="60">
        <v>0.15</v>
      </c>
      <c r="D4" s="61">
        <v>250</v>
      </c>
      <c r="E4" s="62">
        <f t="shared" si="0"/>
        <v>37.5</v>
      </c>
      <c r="G4" s="63" t="s">
        <v>43</v>
      </c>
      <c r="H4" s="64">
        <v>0.15</v>
      </c>
      <c r="I4" s="65"/>
      <c r="J4" s="66">
        <f t="shared" si="1"/>
        <v>0</v>
      </c>
      <c r="L4" s="63" t="s">
        <v>43</v>
      </c>
      <c r="M4" s="64">
        <v>0.15</v>
      </c>
      <c r="O4" s="63" t="s">
        <v>44</v>
      </c>
      <c r="P4" s="67"/>
      <c r="Q4" s="68" t="str">
        <f>+IF(P4="","0,00 TL",(((((250*M3)+(P4-250)*M4))*1.25)+300))</f>
        <v>0,00 TL</v>
      </c>
    </row>
    <row r="5" spans="1:17" x14ac:dyDescent="0.25">
      <c r="A5" s="59">
        <v>500</v>
      </c>
      <c r="B5" s="60">
        <v>1000</v>
      </c>
      <c r="C5" s="60">
        <v>0.1</v>
      </c>
      <c r="D5" s="61">
        <v>500</v>
      </c>
      <c r="E5" s="62">
        <f t="shared" si="0"/>
        <v>50</v>
      </c>
      <c r="G5" s="63" t="s">
        <v>45</v>
      </c>
      <c r="H5" s="64">
        <v>0.1</v>
      </c>
      <c r="I5" s="65"/>
      <c r="J5" s="66">
        <f t="shared" si="1"/>
        <v>0</v>
      </c>
      <c r="L5" s="63" t="s">
        <v>45</v>
      </c>
      <c r="M5" s="64">
        <v>0.1</v>
      </c>
      <c r="O5" s="63" t="s">
        <v>46</v>
      </c>
      <c r="P5" s="67"/>
      <c r="Q5" s="68" t="str">
        <f>IF(P5="","0,00 TL",(((250*M3)+(250*M4)+(P5-500)*M5)*1.25+300))</f>
        <v>0,00 TL</v>
      </c>
    </row>
    <row r="6" spans="1:17" x14ac:dyDescent="0.25">
      <c r="A6" s="59">
        <v>1000</v>
      </c>
      <c r="B6" s="60">
        <v>2000</v>
      </c>
      <c r="C6" s="60">
        <v>0.05</v>
      </c>
      <c r="D6" s="61">
        <v>1000</v>
      </c>
      <c r="E6" s="62">
        <f t="shared" si="0"/>
        <v>50</v>
      </c>
      <c r="G6" s="63" t="s">
        <v>47</v>
      </c>
      <c r="H6" s="64">
        <v>0.05</v>
      </c>
      <c r="I6" s="65"/>
      <c r="J6" s="66">
        <f t="shared" si="1"/>
        <v>0</v>
      </c>
      <c r="L6" s="63" t="s">
        <v>47</v>
      </c>
      <c r="M6" s="64">
        <v>0.05</v>
      </c>
      <c r="O6" s="63" t="s">
        <v>48</v>
      </c>
      <c r="P6" s="67"/>
      <c r="Q6" s="68" t="str">
        <f>IF(P6="","0,00 TL",(((250*M3)+(250*M4)+(500*M5)+(P6-1000)*M6)*1.25+300))</f>
        <v>0,00 TL</v>
      </c>
    </row>
    <row r="7" spans="1:17" x14ac:dyDescent="0.25">
      <c r="A7" s="59">
        <v>2000</v>
      </c>
      <c r="B7" s="60">
        <v>5000</v>
      </c>
      <c r="C7" s="60">
        <v>0.04</v>
      </c>
      <c r="D7" s="61">
        <v>3000</v>
      </c>
      <c r="E7" s="62">
        <f t="shared" si="0"/>
        <v>120</v>
      </c>
      <c r="G7" s="63" t="s">
        <v>49</v>
      </c>
      <c r="H7" s="64">
        <v>0.04</v>
      </c>
      <c r="I7" s="65"/>
      <c r="J7" s="66">
        <f t="shared" si="1"/>
        <v>0</v>
      </c>
      <c r="L7" s="63" t="s">
        <v>49</v>
      </c>
      <c r="M7" s="64">
        <v>0.04</v>
      </c>
      <c r="O7" s="63" t="s">
        <v>50</v>
      </c>
      <c r="P7" s="67"/>
      <c r="Q7" s="68" t="str">
        <f>+IF(P7="","0,00 TL",(((250*M3)+(250*M4)+(500*M5)+(1000*M6)+(P7-2000)*M7)*1.25+300))</f>
        <v>0,00 TL</v>
      </c>
    </row>
    <row r="8" spans="1:17" x14ac:dyDescent="0.25">
      <c r="A8" s="59">
        <v>5000</v>
      </c>
      <c r="B8" s="60">
        <v>10000</v>
      </c>
      <c r="C8" s="60">
        <v>0.03</v>
      </c>
      <c r="D8" s="61">
        <v>1163</v>
      </c>
      <c r="E8" s="62">
        <f t="shared" si="0"/>
        <v>34.89</v>
      </c>
      <c r="G8" s="63" t="s">
        <v>51</v>
      </c>
      <c r="H8" s="64">
        <v>0.03</v>
      </c>
      <c r="I8" s="65"/>
      <c r="J8" s="66">
        <f t="shared" si="1"/>
        <v>0</v>
      </c>
      <c r="L8" s="63" t="s">
        <v>51</v>
      </c>
      <c r="M8" s="64">
        <v>0.03</v>
      </c>
      <c r="O8" s="63" t="s">
        <v>52</v>
      </c>
      <c r="P8" s="67"/>
      <c r="Q8" s="68" t="str">
        <f>+IF(P8="","0,00 TL",((((250*M3)+(250*M4)+(500*M5)+(1000*M6)+(3000*M7)+(P8-5000)*M8))*1.25+300))</f>
        <v>0,00 TL</v>
      </c>
    </row>
    <row r="9" spans="1:17" x14ac:dyDescent="0.25">
      <c r="A9" s="59">
        <v>10000</v>
      </c>
      <c r="B9" s="60">
        <v>50000</v>
      </c>
      <c r="C9" s="60">
        <v>0.02</v>
      </c>
      <c r="D9" s="61"/>
      <c r="E9" s="62">
        <f t="shared" si="0"/>
        <v>0</v>
      </c>
      <c r="G9" s="63" t="s">
        <v>53</v>
      </c>
      <c r="H9" s="64">
        <v>0.02</v>
      </c>
      <c r="I9" s="65"/>
      <c r="J9" s="66">
        <f t="shared" si="1"/>
        <v>0</v>
      </c>
      <c r="L9" s="63" t="s">
        <v>53</v>
      </c>
      <c r="M9" s="64">
        <v>0.02</v>
      </c>
      <c r="O9" s="63" t="s">
        <v>54</v>
      </c>
      <c r="P9" s="67"/>
      <c r="Q9" s="68" t="str">
        <f>+IF(P9="","0,00 TL",(((250*M3)+(250*M4)+(500*M5)+(1000*M6)+(3000*M7)+(5000*M8)+(P9-10000)*M9)*1.25+300))</f>
        <v>0,00 TL</v>
      </c>
    </row>
    <row r="10" spans="1:17" x14ac:dyDescent="0.25">
      <c r="A10" s="59">
        <v>50000</v>
      </c>
      <c r="B10" s="60" t="s">
        <v>55</v>
      </c>
      <c r="C10" s="60">
        <v>0.01</v>
      </c>
      <c r="D10" s="61"/>
      <c r="E10" s="62">
        <f t="shared" si="0"/>
        <v>0</v>
      </c>
      <c r="G10" s="63" t="s">
        <v>56</v>
      </c>
      <c r="H10" s="64">
        <v>0.01</v>
      </c>
      <c r="I10" s="65"/>
      <c r="J10" s="66">
        <f t="shared" si="1"/>
        <v>0</v>
      </c>
      <c r="L10" s="63" t="s">
        <v>56</v>
      </c>
      <c r="M10" s="64">
        <v>0.01</v>
      </c>
      <c r="O10" s="63" t="s">
        <v>56</v>
      </c>
      <c r="P10" s="67"/>
      <c r="Q10" s="68" t="str">
        <f>+IF(P10="","0,00 TL",(((250*M3)+(250*M4)+(500*M5)+(1000*M6)+(3000*M7)+(5000*M8)+(40000*M9)+(P10-50000)*M10)*1.25+300))</f>
        <v>0,00 TL</v>
      </c>
    </row>
    <row r="11" spans="1:17" x14ac:dyDescent="0.25">
      <c r="A11" s="113" t="s">
        <v>57</v>
      </c>
      <c r="B11" s="114"/>
      <c r="C11" s="114"/>
      <c r="D11" s="69">
        <f>SUM(D3:D10)</f>
        <v>6163</v>
      </c>
      <c r="E11" s="70"/>
      <c r="G11" s="115" t="s">
        <v>58</v>
      </c>
      <c r="H11" s="116"/>
      <c r="I11" s="71">
        <f>SUM(I3:I10)</f>
        <v>0</v>
      </c>
      <c r="J11" s="72"/>
      <c r="L11" s="55"/>
      <c r="M11" s="55"/>
    </row>
    <row r="12" spans="1:17" ht="15.75" thickBot="1" x14ac:dyDescent="0.3">
      <c r="A12" s="117" t="s">
        <v>59</v>
      </c>
      <c r="B12" s="118"/>
      <c r="C12" s="118"/>
      <c r="D12" s="119"/>
      <c r="E12" s="73">
        <f>SUM(E3:E10)</f>
        <v>367.39</v>
      </c>
      <c r="G12" s="120" t="s">
        <v>60</v>
      </c>
      <c r="H12" s="121"/>
      <c r="I12" s="122"/>
      <c r="J12" s="74">
        <f>SUM(J3:J11)</f>
        <v>0</v>
      </c>
      <c r="L12" s="55"/>
    </row>
    <row r="13" spans="1:17" x14ac:dyDescent="0.25">
      <c r="I13" s="75"/>
      <c r="L13" s="55"/>
    </row>
    <row r="14" spans="1:17" x14ac:dyDescent="0.25">
      <c r="I14" s="75"/>
      <c r="L14" s="55"/>
    </row>
    <row r="15" spans="1:17" x14ac:dyDescent="0.25">
      <c r="I15" s="75"/>
      <c r="L15" s="55"/>
    </row>
    <row r="16" spans="1:17" x14ac:dyDescent="0.25">
      <c r="I16" s="75"/>
      <c r="L16" s="55"/>
    </row>
    <row r="17" spans="9:12" x14ac:dyDescent="0.25">
      <c r="I17" s="75"/>
      <c r="L17" s="55"/>
    </row>
    <row r="18" spans="9:12" x14ac:dyDescent="0.25">
      <c r="I18" s="75"/>
      <c r="L18" s="55"/>
    </row>
    <row r="19" spans="9:12" x14ac:dyDescent="0.25">
      <c r="I19" s="75"/>
      <c r="L19" s="55"/>
    </row>
    <row r="20" spans="9:12" x14ac:dyDescent="0.25">
      <c r="I20" s="75"/>
      <c r="L20" s="55"/>
    </row>
    <row r="21" spans="9:12" ht="15.75" customHeight="1" x14ac:dyDescent="0.25">
      <c r="I21" s="75"/>
      <c r="L21" s="55"/>
    </row>
    <row r="22" spans="9:12" ht="15.75" customHeight="1" x14ac:dyDescent="0.25">
      <c r="I22" s="75"/>
      <c r="L22" s="55"/>
    </row>
    <row r="23" spans="9:12" ht="15.75" customHeight="1" x14ac:dyDescent="0.25">
      <c r="I23" s="75"/>
      <c r="L23" s="55"/>
    </row>
    <row r="24" spans="9:12" ht="15.75" customHeight="1" x14ac:dyDescent="0.25">
      <c r="I24" s="75"/>
      <c r="L24" s="55"/>
    </row>
    <row r="25" spans="9:12" ht="15.75" customHeight="1" x14ac:dyDescent="0.25">
      <c r="I25" s="75"/>
      <c r="L25" s="55"/>
    </row>
    <row r="26" spans="9:12" ht="15.75" customHeight="1" x14ac:dyDescent="0.25">
      <c r="I26" s="75"/>
      <c r="L26" s="55"/>
    </row>
    <row r="27" spans="9:12" ht="15.75" customHeight="1" x14ac:dyDescent="0.25">
      <c r="I27" s="75"/>
      <c r="L27" s="55"/>
    </row>
    <row r="28" spans="9:12" ht="15.75" customHeight="1" x14ac:dyDescent="0.25">
      <c r="I28" s="75"/>
      <c r="L28" s="55"/>
    </row>
    <row r="29" spans="9:12" ht="15.75" customHeight="1" x14ac:dyDescent="0.25">
      <c r="I29" s="75"/>
      <c r="L29" s="55"/>
    </row>
    <row r="30" spans="9:12" ht="15.75" customHeight="1" x14ac:dyDescent="0.25">
      <c r="I30" s="75"/>
      <c r="L30" s="55"/>
    </row>
    <row r="31" spans="9:12" ht="15.75" customHeight="1" x14ac:dyDescent="0.25">
      <c r="I31" s="75"/>
      <c r="L31" s="55"/>
    </row>
    <row r="32" spans="9:12" ht="15.75" customHeight="1" x14ac:dyDescent="0.25">
      <c r="I32" s="75"/>
      <c r="L32" s="55"/>
    </row>
    <row r="33" spans="9:12" ht="15.75" customHeight="1" x14ac:dyDescent="0.25">
      <c r="I33" s="75"/>
      <c r="L33" s="55"/>
    </row>
    <row r="34" spans="9:12" ht="15.75" customHeight="1" x14ac:dyDescent="0.25">
      <c r="I34" s="75"/>
      <c r="L34" s="55"/>
    </row>
    <row r="35" spans="9:12" ht="15.75" customHeight="1" x14ac:dyDescent="0.25">
      <c r="I35" s="75"/>
      <c r="L35" s="55"/>
    </row>
    <row r="36" spans="9:12" ht="15.75" customHeight="1" x14ac:dyDescent="0.25">
      <c r="I36" s="75"/>
      <c r="L36" s="55"/>
    </row>
    <row r="37" spans="9:12" ht="15.75" customHeight="1" x14ac:dyDescent="0.25">
      <c r="I37" s="75"/>
      <c r="L37" s="55"/>
    </row>
    <row r="38" spans="9:12" ht="15.75" customHeight="1" x14ac:dyDescent="0.25">
      <c r="I38" s="75"/>
      <c r="L38" s="55"/>
    </row>
    <row r="39" spans="9:12" ht="15.75" customHeight="1" x14ac:dyDescent="0.25">
      <c r="I39" s="75"/>
      <c r="L39" s="55"/>
    </row>
    <row r="40" spans="9:12" ht="15.75" customHeight="1" x14ac:dyDescent="0.25">
      <c r="I40" s="75"/>
      <c r="L40" s="55"/>
    </row>
    <row r="41" spans="9:12" ht="15.75" customHeight="1" x14ac:dyDescent="0.25">
      <c r="I41" s="75"/>
      <c r="L41" s="55"/>
    </row>
    <row r="42" spans="9:12" ht="15.75" customHeight="1" x14ac:dyDescent="0.25">
      <c r="I42" s="75"/>
      <c r="L42" s="55"/>
    </row>
    <row r="43" spans="9:12" ht="15.75" customHeight="1" x14ac:dyDescent="0.25">
      <c r="I43" s="75"/>
      <c r="L43" s="55"/>
    </row>
    <row r="44" spans="9:12" ht="15.75" customHeight="1" x14ac:dyDescent="0.25">
      <c r="I44" s="75"/>
      <c r="L44" s="55"/>
    </row>
    <row r="45" spans="9:12" ht="15.75" customHeight="1" x14ac:dyDescent="0.25">
      <c r="I45" s="75"/>
      <c r="L45" s="55"/>
    </row>
    <row r="46" spans="9:12" ht="15.75" customHeight="1" x14ac:dyDescent="0.25">
      <c r="I46" s="75"/>
      <c r="L46" s="55"/>
    </row>
    <row r="47" spans="9:12" ht="15.75" customHeight="1" x14ac:dyDescent="0.25">
      <c r="I47" s="75"/>
      <c r="L47" s="55"/>
    </row>
    <row r="48" spans="9:12" ht="15.75" customHeight="1" x14ac:dyDescent="0.25">
      <c r="I48" s="75"/>
      <c r="L48" s="55"/>
    </row>
    <row r="49" spans="9:12" ht="15.75" customHeight="1" x14ac:dyDescent="0.25">
      <c r="I49" s="75"/>
      <c r="L49" s="55"/>
    </row>
    <row r="50" spans="9:12" ht="15.75" customHeight="1" x14ac:dyDescent="0.25">
      <c r="I50" s="75"/>
      <c r="L50" s="55"/>
    </row>
    <row r="51" spans="9:12" ht="15.75" customHeight="1" x14ac:dyDescent="0.25">
      <c r="I51" s="75"/>
      <c r="L51" s="55"/>
    </row>
    <row r="52" spans="9:12" ht="15.75" customHeight="1" x14ac:dyDescent="0.25">
      <c r="I52" s="75"/>
      <c r="L52" s="55"/>
    </row>
    <row r="53" spans="9:12" ht="15.75" customHeight="1" x14ac:dyDescent="0.25">
      <c r="I53" s="75"/>
      <c r="L53" s="55"/>
    </row>
    <row r="54" spans="9:12" ht="15.75" customHeight="1" x14ac:dyDescent="0.25">
      <c r="I54" s="75"/>
      <c r="L54" s="55"/>
    </row>
    <row r="55" spans="9:12" ht="15.75" customHeight="1" x14ac:dyDescent="0.25">
      <c r="I55" s="75"/>
      <c r="L55" s="55"/>
    </row>
    <row r="56" spans="9:12" ht="15.75" customHeight="1" x14ac:dyDescent="0.25">
      <c r="I56" s="75"/>
      <c r="L56" s="55"/>
    </row>
    <row r="57" spans="9:12" ht="15.75" customHeight="1" x14ac:dyDescent="0.25">
      <c r="I57" s="75"/>
      <c r="L57" s="55"/>
    </row>
    <row r="58" spans="9:12" ht="15.75" customHeight="1" x14ac:dyDescent="0.25">
      <c r="I58" s="75"/>
      <c r="L58" s="55"/>
    </row>
    <row r="59" spans="9:12" ht="15.75" customHeight="1" x14ac:dyDescent="0.25">
      <c r="I59" s="75"/>
      <c r="L59" s="55"/>
    </row>
    <row r="60" spans="9:12" ht="15.75" customHeight="1" x14ac:dyDescent="0.25">
      <c r="I60" s="75"/>
      <c r="L60" s="55"/>
    </row>
    <row r="61" spans="9:12" ht="15.75" customHeight="1" x14ac:dyDescent="0.25">
      <c r="I61" s="75"/>
      <c r="L61" s="55"/>
    </row>
    <row r="62" spans="9:12" ht="15.75" customHeight="1" x14ac:dyDescent="0.25">
      <c r="I62" s="75"/>
      <c r="L62" s="55"/>
    </row>
    <row r="63" spans="9:12" ht="15.75" customHeight="1" x14ac:dyDescent="0.25">
      <c r="I63" s="75"/>
      <c r="L63" s="55"/>
    </row>
    <row r="64" spans="9:12" ht="15.75" customHeight="1" x14ac:dyDescent="0.25">
      <c r="I64" s="75"/>
      <c r="L64" s="55"/>
    </row>
    <row r="65" spans="9:12" ht="15.75" customHeight="1" x14ac:dyDescent="0.25">
      <c r="I65" s="75"/>
      <c r="L65" s="55"/>
    </row>
    <row r="66" spans="9:12" ht="15.75" customHeight="1" x14ac:dyDescent="0.25">
      <c r="I66" s="75"/>
      <c r="L66" s="55"/>
    </row>
    <row r="67" spans="9:12" ht="15.75" customHeight="1" x14ac:dyDescent="0.25">
      <c r="I67" s="75"/>
      <c r="L67" s="55"/>
    </row>
    <row r="68" spans="9:12" ht="15.75" customHeight="1" x14ac:dyDescent="0.25">
      <c r="I68" s="75"/>
      <c r="L68" s="55"/>
    </row>
    <row r="69" spans="9:12" ht="15.75" customHeight="1" x14ac:dyDescent="0.25">
      <c r="I69" s="75"/>
      <c r="L69" s="55"/>
    </row>
    <row r="70" spans="9:12" ht="15.75" customHeight="1" x14ac:dyDescent="0.25">
      <c r="I70" s="75"/>
      <c r="L70" s="55"/>
    </row>
    <row r="71" spans="9:12" ht="15.75" customHeight="1" x14ac:dyDescent="0.25">
      <c r="I71" s="75"/>
      <c r="L71" s="55"/>
    </row>
    <row r="72" spans="9:12" ht="15.75" customHeight="1" x14ac:dyDescent="0.25">
      <c r="I72" s="75"/>
      <c r="L72" s="55"/>
    </row>
    <row r="73" spans="9:12" ht="15.75" customHeight="1" x14ac:dyDescent="0.25">
      <c r="I73" s="75"/>
      <c r="L73" s="55"/>
    </row>
    <row r="74" spans="9:12" ht="15.75" customHeight="1" x14ac:dyDescent="0.25">
      <c r="I74" s="75"/>
      <c r="L74" s="55"/>
    </row>
    <row r="75" spans="9:12" ht="15.75" customHeight="1" x14ac:dyDescent="0.25">
      <c r="I75" s="75"/>
      <c r="L75" s="55"/>
    </row>
    <row r="76" spans="9:12" ht="15.75" customHeight="1" x14ac:dyDescent="0.25">
      <c r="I76" s="75"/>
      <c r="L76" s="55"/>
    </row>
    <row r="77" spans="9:12" ht="15.75" customHeight="1" x14ac:dyDescent="0.25">
      <c r="I77" s="75"/>
      <c r="L77" s="55"/>
    </row>
    <row r="78" spans="9:12" ht="15.75" customHeight="1" x14ac:dyDescent="0.25">
      <c r="I78" s="75"/>
      <c r="L78" s="55"/>
    </row>
    <row r="79" spans="9:12" ht="15.75" customHeight="1" x14ac:dyDescent="0.25">
      <c r="I79" s="75"/>
      <c r="L79" s="55"/>
    </row>
    <row r="80" spans="9:12" ht="15.75" customHeight="1" x14ac:dyDescent="0.25">
      <c r="I80" s="75"/>
      <c r="L80" s="55"/>
    </row>
    <row r="81" spans="9:12" ht="15.75" customHeight="1" x14ac:dyDescent="0.25">
      <c r="I81" s="75"/>
      <c r="L81" s="55"/>
    </row>
    <row r="82" spans="9:12" ht="15.75" customHeight="1" x14ac:dyDescent="0.25">
      <c r="I82" s="75"/>
      <c r="L82" s="55"/>
    </row>
    <row r="83" spans="9:12" ht="15.75" customHeight="1" x14ac:dyDescent="0.25">
      <c r="I83" s="75"/>
      <c r="L83" s="55"/>
    </row>
    <row r="84" spans="9:12" ht="15.75" customHeight="1" x14ac:dyDescent="0.25">
      <c r="I84" s="75"/>
      <c r="L84" s="55"/>
    </row>
    <row r="85" spans="9:12" ht="15.75" customHeight="1" x14ac:dyDescent="0.25">
      <c r="I85" s="75"/>
      <c r="L85" s="55"/>
    </row>
    <row r="86" spans="9:12" ht="15.75" customHeight="1" x14ac:dyDescent="0.25">
      <c r="I86" s="75"/>
      <c r="L86" s="55"/>
    </row>
    <row r="87" spans="9:12" ht="15.75" customHeight="1" x14ac:dyDescent="0.25">
      <c r="I87" s="75"/>
      <c r="L87" s="55"/>
    </row>
    <row r="88" spans="9:12" ht="15.75" customHeight="1" x14ac:dyDescent="0.25">
      <c r="I88" s="75"/>
      <c r="L88" s="55"/>
    </row>
    <row r="89" spans="9:12" ht="15.75" customHeight="1" x14ac:dyDescent="0.25">
      <c r="I89" s="75"/>
      <c r="L89" s="55"/>
    </row>
    <row r="90" spans="9:12" ht="15.75" customHeight="1" x14ac:dyDescent="0.25">
      <c r="I90" s="75"/>
      <c r="L90" s="55"/>
    </row>
    <row r="91" spans="9:12" ht="15.75" customHeight="1" x14ac:dyDescent="0.25">
      <c r="I91" s="75"/>
      <c r="L91" s="55"/>
    </row>
    <row r="92" spans="9:12" ht="15.75" customHeight="1" x14ac:dyDescent="0.25">
      <c r="I92" s="75"/>
      <c r="L92" s="55"/>
    </row>
    <row r="93" spans="9:12" ht="15.75" customHeight="1" x14ac:dyDescent="0.25">
      <c r="I93" s="75"/>
      <c r="L93" s="55"/>
    </row>
    <row r="94" spans="9:12" ht="15.75" customHeight="1" x14ac:dyDescent="0.25">
      <c r="I94" s="75"/>
      <c r="L94" s="55"/>
    </row>
    <row r="95" spans="9:12" ht="15.75" customHeight="1" x14ac:dyDescent="0.25">
      <c r="I95" s="75"/>
      <c r="L95" s="55"/>
    </row>
    <row r="96" spans="9:12" ht="15.75" customHeight="1" x14ac:dyDescent="0.25">
      <c r="I96" s="75"/>
      <c r="L96" s="55"/>
    </row>
    <row r="97" spans="9:12" ht="15.75" customHeight="1" x14ac:dyDescent="0.25">
      <c r="I97" s="75"/>
      <c r="L97" s="55"/>
    </row>
    <row r="98" spans="9:12" ht="15.75" customHeight="1" x14ac:dyDescent="0.25">
      <c r="I98" s="75"/>
      <c r="L98" s="55"/>
    </row>
    <row r="99" spans="9:12" ht="15.75" customHeight="1" x14ac:dyDescent="0.25">
      <c r="I99" s="75"/>
      <c r="L99" s="55"/>
    </row>
    <row r="100" spans="9:12" ht="15.75" customHeight="1" x14ac:dyDescent="0.25">
      <c r="I100" s="75"/>
      <c r="L100" s="55"/>
    </row>
    <row r="101" spans="9:12" ht="15.75" customHeight="1" x14ac:dyDescent="0.25">
      <c r="I101" s="75"/>
      <c r="L101" s="55"/>
    </row>
    <row r="102" spans="9:12" ht="15.75" customHeight="1" x14ac:dyDescent="0.25">
      <c r="I102" s="75"/>
      <c r="L102" s="55"/>
    </row>
    <row r="103" spans="9:12" ht="15.75" customHeight="1" x14ac:dyDescent="0.25">
      <c r="I103" s="75"/>
      <c r="L103" s="55"/>
    </row>
    <row r="104" spans="9:12" ht="15.75" customHeight="1" x14ac:dyDescent="0.25">
      <c r="I104" s="75"/>
      <c r="L104" s="55"/>
    </row>
    <row r="105" spans="9:12" ht="15.75" customHeight="1" x14ac:dyDescent="0.25">
      <c r="I105" s="75"/>
      <c r="L105" s="55"/>
    </row>
    <row r="106" spans="9:12" ht="15.75" customHeight="1" x14ac:dyDescent="0.25">
      <c r="I106" s="75"/>
      <c r="L106" s="55"/>
    </row>
    <row r="107" spans="9:12" ht="15.75" customHeight="1" x14ac:dyDescent="0.25">
      <c r="I107" s="75"/>
      <c r="L107" s="55"/>
    </row>
    <row r="108" spans="9:12" ht="15.75" customHeight="1" x14ac:dyDescent="0.25">
      <c r="I108" s="75"/>
      <c r="L108" s="55"/>
    </row>
    <row r="109" spans="9:12" ht="15.75" customHeight="1" x14ac:dyDescent="0.25">
      <c r="I109" s="75"/>
      <c r="L109" s="55"/>
    </row>
    <row r="110" spans="9:12" ht="15.75" customHeight="1" x14ac:dyDescent="0.25">
      <c r="I110" s="75"/>
      <c r="L110" s="55"/>
    </row>
    <row r="111" spans="9:12" ht="15.75" customHeight="1" x14ac:dyDescent="0.25">
      <c r="I111" s="75"/>
      <c r="L111" s="55"/>
    </row>
    <row r="112" spans="9:12" ht="15.75" customHeight="1" x14ac:dyDescent="0.25">
      <c r="I112" s="75"/>
      <c r="L112" s="55"/>
    </row>
    <row r="113" spans="9:12" ht="15.75" customHeight="1" x14ac:dyDescent="0.25">
      <c r="I113" s="75"/>
      <c r="L113" s="55"/>
    </row>
    <row r="114" spans="9:12" ht="15.75" customHeight="1" x14ac:dyDescent="0.25">
      <c r="I114" s="75"/>
      <c r="L114" s="55"/>
    </row>
    <row r="115" spans="9:12" ht="15.75" customHeight="1" x14ac:dyDescent="0.25">
      <c r="I115" s="75"/>
      <c r="L115" s="55"/>
    </row>
    <row r="116" spans="9:12" ht="15.75" customHeight="1" x14ac:dyDescent="0.25">
      <c r="I116" s="75"/>
      <c r="L116" s="55"/>
    </row>
    <row r="117" spans="9:12" ht="15.75" customHeight="1" x14ac:dyDescent="0.25">
      <c r="I117" s="75"/>
      <c r="L117" s="55"/>
    </row>
    <row r="118" spans="9:12" ht="15.75" customHeight="1" x14ac:dyDescent="0.25">
      <c r="I118" s="75"/>
      <c r="L118" s="55"/>
    </row>
    <row r="119" spans="9:12" ht="15.75" customHeight="1" x14ac:dyDescent="0.25">
      <c r="I119" s="75"/>
      <c r="L119" s="55"/>
    </row>
    <row r="120" spans="9:12" ht="15.75" customHeight="1" x14ac:dyDescent="0.25">
      <c r="I120" s="75"/>
      <c r="L120" s="55"/>
    </row>
    <row r="121" spans="9:12" ht="15.75" customHeight="1" x14ac:dyDescent="0.25">
      <c r="I121" s="75"/>
      <c r="L121" s="55"/>
    </row>
    <row r="122" spans="9:12" ht="15.75" customHeight="1" x14ac:dyDescent="0.25">
      <c r="I122" s="75"/>
      <c r="L122" s="55"/>
    </row>
    <row r="123" spans="9:12" ht="15.75" customHeight="1" x14ac:dyDescent="0.25">
      <c r="I123" s="75"/>
      <c r="L123" s="55"/>
    </row>
    <row r="124" spans="9:12" ht="15.75" customHeight="1" x14ac:dyDescent="0.25">
      <c r="I124" s="75"/>
      <c r="L124" s="55"/>
    </row>
    <row r="125" spans="9:12" ht="15.75" customHeight="1" x14ac:dyDescent="0.25">
      <c r="I125" s="75"/>
      <c r="L125" s="55"/>
    </row>
    <row r="126" spans="9:12" ht="15.75" customHeight="1" x14ac:dyDescent="0.25">
      <c r="I126" s="75"/>
      <c r="L126" s="55"/>
    </row>
    <row r="127" spans="9:12" ht="15.75" customHeight="1" x14ac:dyDescent="0.25">
      <c r="I127" s="75"/>
      <c r="L127" s="55"/>
    </row>
    <row r="128" spans="9:12" ht="15.75" customHeight="1" x14ac:dyDescent="0.25">
      <c r="I128" s="75"/>
      <c r="L128" s="55"/>
    </row>
    <row r="129" spans="9:12" ht="15.75" customHeight="1" x14ac:dyDescent="0.25">
      <c r="I129" s="75"/>
      <c r="L129" s="55"/>
    </row>
    <row r="130" spans="9:12" ht="15.75" customHeight="1" x14ac:dyDescent="0.25">
      <c r="I130" s="75"/>
      <c r="L130" s="55"/>
    </row>
    <row r="131" spans="9:12" ht="15.75" customHeight="1" x14ac:dyDescent="0.25">
      <c r="I131" s="75"/>
      <c r="L131" s="55"/>
    </row>
    <row r="132" spans="9:12" ht="15.75" customHeight="1" x14ac:dyDescent="0.25">
      <c r="I132" s="75"/>
      <c r="L132" s="55"/>
    </row>
    <row r="133" spans="9:12" ht="15.75" customHeight="1" x14ac:dyDescent="0.25">
      <c r="I133" s="75"/>
      <c r="L133" s="55"/>
    </row>
    <row r="134" spans="9:12" ht="15.75" customHeight="1" x14ac:dyDescent="0.25">
      <c r="I134" s="75"/>
      <c r="L134" s="55"/>
    </row>
    <row r="135" spans="9:12" ht="15.75" customHeight="1" x14ac:dyDescent="0.25">
      <c r="I135" s="75"/>
      <c r="L135" s="55"/>
    </row>
    <row r="136" spans="9:12" ht="15.75" customHeight="1" x14ac:dyDescent="0.25">
      <c r="I136" s="75"/>
      <c r="L136" s="55"/>
    </row>
    <row r="137" spans="9:12" ht="15.75" customHeight="1" x14ac:dyDescent="0.25">
      <c r="I137" s="75"/>
      <c r="L137" s="55"/>
    </row>
    <row r="138" spans="9:12" ht="15.75" customHeight="1" x14ac:dyDescent="0.25">
      <c r="I138" s="75"/>
      <c r="L138" s="55"/>
    </row>
    <row r="139" spans="9:12" ht="15.75" customHeight="1" x14ac:dyDescent="0.25">
      <c r="I139" s="75"/>
      <c r="L139" s="55"/>
    </row>
    <row r="140" spans="9:12" ht="15.75" customHeight="1" x14ac:dyDescent="0.25">
      <c r="I140" s="75"/>
      <c r="L140" s="55"/>
    </row>
    <row r="141" spans="9:12" ht="15.75" customHeight="1" x14ac:dyDescent="0.25">
      <c r="I141" s="75"/>
      <c r="L141" s="55"/>
    </row>
    <row r="142" spans="9:12" ht="15.75" customHeight="1" x14ac:dyDescent="0.25">
      <c r="I142" s="75"/>
      <c r="L142" s="55"/>
    </row>
    <row r="143" spans="9:12" ht="15.75" customHeight="1" x14ac:dyDescent="0.25">
      <c r="I143" s="75"/>
      <c r="L143" s="55"/>
    </row>
    <row r="144" spans="9:12" ht="15.75" customHeight="1" x14ac:dyDescent="0.25">
      <c r="I144" s="75"/>
      <c r="L144" s="55"/>
    </row>
    <row r="145" spans="9:12" ht="15.75" customHeight="1" x14ac:dyDescent="0.25">
      <c r="I145" s="75"/>
      <c r="L145" s="55"/>
    </row>
    <row r="146" spans="9:12" ht="15.75" customHeight="1" x14ac:dyDescent="0.25">
      <c r="I146" s="75"/>
      <c r="L146" s="55"/>
    </row>
    <row r="147" spans="9:12" ht="15.75" customHeight="1" x14ac:dyDescent="0.25">
      <c r="I147" s="75"/>
      <c r="L147" s="55"/>
    </row>
    <row r="148" spans="9:12" ht="15.75" customHeight="1" x14ac:dyDescent="0.25">
      <c r="I148" s="75"/>
      <c r="L148" s="55"/>
    </row>
    <row r="149" spans="9:12" ht="15.75" customHeight="1" x14ac:dyDescent="0.25">
      <c r="I149" s="75"/>
      <c r="L149" s="55"/>
    </row>
    <row r="150" spans="9:12" ht="15.75" customHeight="1" x14ac:dyDescent="0.25">
      <c r="I150" s="75"/>
      <c r="L150" s="55"/>
    </row>
    <row r="151" spans="9:12" ht="15.75" customHeight="1" x14ac:dyDescent="0.25">
      <c r="I151" s="75"/>
      <c r="L151" s="55"/>
    </row>
    <row r="152" spans="9:12" ht="15.75" customHeight="1" x14ac:dyDescent="0.25">
      <c r="I152" s="75"/>
      <c r="L152" s="55"/>
    </row>
    <row r="153" spans="9:12" ht="15.75" customHeight="1" x14ac:dyDescent="0.25">
      <c r="I153" s="75"/>
      <c r="L153" s="55"/>
    </row>
    <row r="154" spans="9:12" ht="15.75" customHeight="1" x14ac:dyDescent="0.25">
      <c r="I154" s="75"/>
      <c r="L154" s="55"/>
    </row>
    <row r="155" spans="9:12" ht="15.75" customHeight="1" x14ac:dyDescent="0.25">
      <c r="I155" s="75"/>
      <c r="L155" s="55"/>
    </row>
    <row r="156" spans="9:12" ht="15.75" customHeight="1" x14ac:dyDescent="0.25">
      <c r="I156" s="75"/>
      <c r="L156" s="55"/>
    </row>
    <row r="157" spans="9:12" ht="15.75" customHeight="1" x14ac:dyDescent="0.25">
      <c r="I157" s="75"/>
      <c r="L157" s="55"/>
    </row>
    <row r="158" spans="9:12" ht="15.75" customHeight="1" x14ac:dyDescent="0.25">
      <c r="I158" s="75"/>
      <c r="L158" s="55"/>
    </row>
    <row r="159" spans="9:12" ht="15.75" customHeight="1" x14ac:dyDescent="0.25">
      <c r="I159" s="75"/>
      <c r="L159" s="55"/>
    </row>
    <row r="160" spans="9:12" ht="15.75" customHeight="1" x14ac:dyDescent="0.25">
      <c r="I160" s="75"/>
      <c r="L160" s="55"/>
    </row>
    <row r="161" spans="9:12" ht="15.75" customHeight="1" x14ac:dyDescent="0.25">
      <c r="I161" s="75"/>
      <c r="L161" s="55"/>
    </row>
    <row r="162" spans="9:12" ht="15.75" customHeight="1" x14ac:dyDescent="0.25">
      <c r="I162" s="75"/>
      <c r="L162" s="55"/>
    </row>
    <row r="163" spans="9:12" ht="15.75" customHeight="1" x14ac:dyDescent="0.25">
      <c r="I163" s="75"/>
      <c r="L163" s="55"/>
    </row>
    <row r="164" spans="9:12" ht="15.75" customHeight="1" x14ac:dyDescent="0.25">
      <c r="I164" s="75"/>
      <c r="L164" s="55"/>
    </row>
    <row r="165" spans="9:12" ht="15.75" customHeight="1" x14ac:dyDescent="0.25">
      <c r="I165" s="75"/>
      <c r="L165" s="55"/>
    </row>
    <row r="166" spans="9:12" ht="15.75" customHeight="1" x14ac:dyDescent="0.25">
      <c r="I166" s="75"/>
      <c r="L166" s="55"/>
    </row>
    <row r="167" spans="9:12" ht="15.75" customHeight="1" x14ac:dyDescent="0.25">
      <c r="I167" s="75"/>
      <c r="L167" s="55"/>
    </row>
    <row r="168" spans="9:12" ht="15.75" customHeight="1" x14ac:dyDescent="0.25">
      <c r="I168" s="75"/>
      <c r="L168" s="55"/>
    </row>
    <row r="169" spans="9:12" ht="15.75" customHeight="1" x14ac:dyDescent="0.25">
      <c r="I169" s="75"/>
      <c r="L169" s="55"/>
    </row>
    <row r="170" spans="9:12" ht="15.75" customHeight="1" x14ac:dyDescent="0.25">
      <c r="I170" s="75"/>
      <c r="L170" s="55"/>
    </row>
    <row r="171" spans="9:12" ht="15.75" customHeight="1" x14ac:dyDescent="0.25">
      <c r="I171" s="75"/>
      <c r="L171" s="55"/>
    </row>
    <row r="172" spans="9:12" ht="15.75" customHeight="1" x14ac:dyDescent="0.25">
      <c r="I172" s="75"/>
      <c r="L172" s="55"/>
    </row>
    <row r="173" spans="9:12" ht="15.75" customHeight="1" x14ac:dyDescent="0.25">
      <c r="I173" s="75"/>
      <c r="L173" s="55"/>
    </row>
    <row r="174" spans="9:12" ht="15.75" customHeight="1" x14ac:dyDescent="0.25">
      <c r="I174" s="75"/>
      <c r="L174" s="55"/>
    </row>
    <row r="175" spans="9:12" ht="15.75" customHeight="1" x14ac:dyDescent="0.25">
      <c r="I175" s="75"/>
      <c r="L175" s="55"/>
    </row>
    <row r="176" spans="9:12" ht="15.75" customHeight="1" x14ac:dyDescent="0.25">
      <c r="I176" s="75"/>
      <c r="L176" s="55"/>
    </row>
    <row r="177" spans="9:12" ht="15.75" customHeight="1" x14ac:dyDescent="0.25">
      <c r="I177" s="75"/>
      <c r="L177" s="55"/>
    </row>
    <row r="178" spans="9:12" ht="15.75" customHeight="1" x14ac:dyDescent="0.25">
      <c r="I178" s="75"/>
      <c r="L178" s="55"/>
    </row>
    <row r="179" spans="9:12" ht="15.75" customHeight="1" x14ac:dyDescent="0.25">
      <c r="I179" s="75"/>
      <c r="L179" s="55"/>
    </row>
    <row r="180" spans="9:12" ht="15.75" customHeight="1" x14ac:dyDescent="0.25">
      <c r="I180" s="75"/>
      <c r="L180" s="55"/>
    </row>
    <row r="181" spans="9:12" ht="15.75" customHeight="1" x14ac:dyDescent="0.25">
      <c r="I181" s="75"/>
      <c r="L181" s="55"/>
    </row>
    <row r="182" spans="9:12" ht="15.75" customHeight="1" x14ac:dyDescent="0.25">
      <c r="I182" s="75"/>
      <c r="L182" s="55"/>
    </row>
    <row r="183" spans="9:12" ht="15.75" customHeight="1" x14ac:dyDescent="0.25">
      <c r="I183" s="75"/>
      <c r="L183" s="55"/>
    </row>
    <row r="184" spans="9:12" ht="15.75" customHeight="1" x14ac:dyDescent="0.25">
      <c r="I184" s="75"/>
      <c r="L184" s="55"/>
    </row>
    <row r="185" spans="9:12" ht="15.75" customHeight="1" x14ac:dyDescent="0.25">
      <c r="I185" s="75"/>
      <c r="L185" s="55"/>
    </row>
    <row r="186" spans="9:12" ht="15.75" customHeight="1" x14ac:dyDescent="0.25">
      <c r="I186" s="75"/>
      <c r="L186" s="55"/>
    </row>
    <row r="187" spans="9:12" ht="15.75" customHeight="1" x14ac:dyDescent="0.25">
      <c r="I187" s="75"/>
      <c r="L187" s="55"/>
    </row>
    <row r="188" spans="9:12" ht="15.75" customHeight="1" x14ac:dyDescent="0.25">
      <c r="I188" s="75"/>
      <c r="L188" s="55"/>
    </row>
    <row r="189" spans="9:12" ht="15.75" customHeight="1" x14ac:dyDescent="0.25">
      <c r="I189" s="75"/>
      <c r="L189" s="55"/>
    </row>
    <row r="190" spans="9:12" ht="15.75" customHeight="1" x14ac:dyDescent="0.25">
      <c r="I190" s="75"/>
      <c r="L190" s="55"/>
    </row>
    <row r="191" spans="9:12" ht="15.75" customHeight="1" x14ac:dyDescent="0.25">
      <c r="I191" s="75"/>
      <c r="L191" s="55"/>
    </row>
    <row r="192" spans="9:12" ht="15.75" customHeight="1" x14ac:dyDescent="0.25">
      <c r="I192" s="75"/>
      <c r="L192" s="55"/>
    </row>
    <row r="193" spans="9:12" ht="15.75" customHeight="1" x14ac:dyDescent="0.25">
      <c r="I193" s="75"/>
      <c r="L193" s="55"/>
    </row>
    <row r="194" spans="9:12" ht="15.75" customHeight="1" x14ac:dyDescent="0.25">
      <c r="I194" s="75"/>
      <c r="L194" s="55"/>
    </row>
    <row r="195" spans="9:12" ht="15.75" customHeight="1" x14ac:dyDescent="0.25">
      <c r="I195" s="75"/>
      <c r="L195" s="55"/>
    </row>
    <row r="196" spans="9:12" ht="15.75" customHeight="1" x14ac:dyDescent="0.25">
      <c r="I196" s="75"/>
      <c r="L196" s="55"/>
    </row>
    <row r="197" spans="9:12" ht="15.75" customHeight="1" x14ac:dyDescent="0.25">
      <c r="I197" s="75"/>
      <c r="L197" s="55"/>
    </row>
    <row r="198" spans="9:12" ht="15.75" customHeight="1" x14ac:dyDescent="0.25">
      <c r="I198" s="75"/>
      <c r="L198" s="55"/>
    </row>
    <row r="199" spans="9:12" ht="15.75" customHeight="1" x14ac:dyDescent="0.25">
      <c r="I199" s="75"/>
      <c r="L199" s="55"/>
    </row>
    <row r="200" spans="9:12" ht="15.75" customHeight="1" x14ac:dyDescent="0.25">
      <c r="I200" s="75"/>
      <c r="L200" s="55"/>
    </row>
    <row r="201" spans="9:12" ht="15.75" customHeight="1" x14ac:dyDescent="0.25">
      <c r="I201" s="75"/>
      <c r="L201" s="55"/>
    </row>
    <row r="202" spans="9:12" ht="15.75" customHeight="1" x14ac:dyDescent="0.25">
      <c r="I202" s="75"/>
      <c r="L202" s="55"/>
    </row>
    <row r="203" spans="9:12" ht="15.75" customHeight="1" x14ac:dyDescent="0.25">
      <c r="I203" s="75"/>
      <c r="L203" s="55"/>
    </row>
    <row r="204" spans="9:12" ht="15.75" customHeight="1" x14ac:dyDescent="0.25">
      <c r="I204" s="75"/>
      <c r="L204" s="55"/>
    </row>
    <row r="205" spans="9:12" ht="15.75" customHeight="1" x14ac:dyDescent="0.25">
      <c r="I205" s="75"/>
      <c r="L205" s="55"/>
    </row>
    <row r="206" spans="9:12" ht="15.75" customHeight="1" x14ac:dyDescent="0.25">
      <c r="I206" s="75"/>
      <c r="L206" s="55"/>
    </row>
    <row r="207" spans="9:12" ht="15.75" customHeight="1" x14ac:dyDescent="0.25">
      <c r="I207" s="75"/>
      <c r="L207" s="55"/>
    </row>
    <row r="208" spans="9:12" ht="15.75" customHeight="1" x14ac:dyDescent="0.25">
      <c r="I208" s="75"/>
      <c r="L208" s="55"/>
    </row>
    <row r="209" spans="9:12" ht="15.75" customHeight="1" x14ac:dyDescent="0.25">
      <c r="I209" s="75"/>
      <c r="L209" s="55"/>
    </row>
    <row r="210" spans="9:12" ht="15.75" customHeight="1" x14ac:dyDescent="0.25">
      <c r="I210" s="75"/>
      <c r="L210" s="55"/>
    </row>
    <row r="211" spans="9:12" ht="15.75" customHeight="1" x14ac:dyDescent="0.25">
      <c r="I211" s="75"/>
      <c r="L211" s="55"/>
    </row>
    <row r="212" spans="9:12" ht="15.75" customHeight="1" x14ac:dyDescent="0.25">
      <c r="I212" s="75"/>
      <c r="L212" s="55"/>
    </row>
    <row r="213" spans="9:12" ht="15.75" customHeight="1" x14ac:dyDescent="0.25">
      <c r="I213" s="75"/>
      <c r="L213" s="55"/>
    </row>
    <row r="214" spans="9:12" ht="15.75" customHeight="1" x14ac:dyDescent="0.25">
      <c r="I214" s="75"/>
      <c r="L214" s="55"/>
    </row>
    <row r="215" spans="9:12" ht="15.75" customHeight="1" x14ac:dyDescent="0.25">
      <c r="I215" s="75"/>
      <c r="L215" s="55"/>
    </row>
    <row r="216" spans="9:12" ht="15.75" customHeight="1" x14ac:dyDescent="0.25">
      <c r="I216" s="75"/>
      <c r="L216" s="55"/>
    </row>
    <row r="217" spans="9:12" ht="15.75" customHeight="1" x14ac:dyDescent="0.25">
      <c r="I217" s="75"/>
      <c r="L217" s="55"/>
    </row>
    <row r="218" spans="9:12" ht="15.75" customHeight="1" x14ac:dyDescent="0.25">
      <c r="I218" s="75"/>
      <c r="L218" s="55"/>
    </row>
    <row r="219" spans="9:12" ht="15.75" customHeight="1" x14ac:dyDescent="0.25">
      <c r="I219" s="75"/>
      <c r="L219" s="55"/>
    </row>
    <row r="220" spans="9:12" ht="15.75" customHeight="1" x14ac:dyDescent="0.25">
      <c r="I220" s="75"/>
      <c r="L220" s="55"/>
    </row>
    <row r="221" spans="9:12" ht="15.75" customHeight="1" x14ac:dyDescent="0.25">
      <c r="I221" s="75"/>
      <c r="L221" s="55"/>
    </row>
    <row r="222" spans="9:12" ht="15.75" customHeight="1" x14ac:dyDescent="0.25">
      <c r="I222" s="75"/>
      <c r="L222" s="55"/>
    </row>
    <row r="223" spans="9:12" ht="15.75" customHeight="1" x14ac:dyDescent="0.25">
      <c r="I223" s="75"/>
      <c r="L223" s="55"/>
    </row>
    <row r="224" spans="9:12" ht="15.75" customHeight="1" x14ac:dyDescent="0.25">
      <c r="I224" s="75"/>
      <c r="L224" s="55"/>
    </row>
    <row r="225" spans="9:12" ht="15.75" customHeight="1" x14ac:dyDescent="0.25">
      <c r="I225" s="75"/>
      <c r="L225" s="55"/>
    </row>
    <row r="226" spans="9:12" ht="15.75" customHeight="1" x14ac:dyDescent="0.25">
      <c r="I226" s="75"/>
      <c r="L226" s="55"/>
    </row>
    <row r="227" spans="9:12" ht="15.75" customHeight="1" x14ac:dyDescent="0.25">
      <c r="I227" s="75"/>
      <c r="L227" s="55"/>
    </row>
    <row r="228" spans="9:12" ht="15.75" customHeight="1" x14ac:dyDescent="0.25">
      <c r="I228" s="75"/>
      <c r="L228" s="55"/>
    </row>
    <row r="229" spans="9:12" ht="15.75" customHeight="1" x14ac:dyDescent="0.25">
      <c r="I229" s="75"/>
      <c r="L229" s="55"/>
    </row>
    <row r="230" spans="9:12" ht="15.75" customHeight="1" x14ac:dyDescent="0.25">
      <c r="I230" s="75"/>
      <c r="L230" s="55"/>
    </row>
    <row r="231" spans="9:12" ht="15.75" customHeight="1" x14ac:dyDescent="0.25">
      <c r="I231" s="75"/>
      <c r="L231" s="55"/>
    </row>
    <row r="232" spans="9:12" ht="15.75" customHeight="1" x14ac:dyDescent="0.25">
      <c r="I232" s="75"/>
      <c r="L232" s="55"/>
    </row>
    <row r="233" spans="9:12" ht="15.75" customHeight="1" x14ac:dyDescent="0.25">
      <c r="I233" s="75"/>
      <c r="L233" s="55"/>
    </row>
    <row r="234" spans="9:12" ht="15.75" customHeight="1" x14ac:dyDescent="0.25">
      <c r="I234" s="75"/>
      <c r="L234" s="55"/>
    </row>
    <row r="235" spans="9:12" ht="15.75" customHeight="1" x14ac:dyDescent="0.25">
      <c r="I235" s="75"/>
      <c r="L235" s="55"/>
    </row>
    <row r="236" spans="9:12" ht="15.75" customHeight="1" x14ac:dyDescent="0.25">
      <c r="I236" s="75"/>
      <c r="L236" s="55"/>
    </row>
    <row r="237" spans="9:12" ht="15.75" customHeight="1" x14ac:dyDescent="0.25">
      <c r="I237" s="75"/>
      <c r="L237" s="55"/>
    </row>
    <row r="238" spans="9:12" ht="15.75" customHeight="1" x14ac:dyDescent="0.25">
      <c r="I238" s="75"/>
      <c r="L238" s="55"/>
    </row>
    <row r="239" spans="9:12" ht="15.75" customHeight="1" x14ac:dyDescent="0.25">
      <c r="I239" s="75"/>
      <c r="L239" s="55"/>
    </row>
    <row r="240" spans="9:12" ht="15.75" customHeight="1" x14ac:dyDescent="0.25">
      <c r="I240" s="75"/>
      <c r="L240" s="55"/>
    </row>
    <row r="241" spans="9:12" ht="15.75" customHeight="1" x14ac:dyDescent="0.25">
      <c r="I241" s="75"/>
      <c r="L241" s="55"/>
    </row>
    <row r="242" spans="9:12" ht="15.75" customHeight="1" x14ac:dyDescent="0.25">
      <c r="I242" s="75"/>
      <c r="L242" s="55"/>
    </row>
    <row r="243" spans="9:12" ht="15.75" customHeight="1" x14ac:dyDescent="0.25">
      <c r="I243" s="75"/>
      <c r="L243" s="55"/>
    </row>
    <row r="244" spans="9:12" ht="15.75" customHeight="1" x14ac:dyDescent="0.25">
      <c r="I244" s="75"/>
      <c r="L244" s="55"/>
    </row>
    <row r="245" spans="9:12" ht="15.75" customHeight="1" x14ac:dyDescent="0.25">
      <c r="I245" s="75"/>
      <c r="L245" s="55"/>
    </row>
    <row r="246" spans="9:12" ht="15.75" customHeight="1" x14ac:dyDescent="0.25">
      <c r="I246" s="75"/>
      <c r="L246" s="55"/>
    </row>
    <row r="247" spans="9:12" ht="15.75" customHeight="1" x14ac:dyDescent="0.25">
      <c r="I247" s="75"/>
      <c r="L247" s="55"/>
    </row>
    <row r="248" spans="9:12" ht="15.75" customHeight="1" x14ac:dyDescent="0.25">
      <c r="I248" s="75"/>
      <c r="L248" s="55"/>
    </row>
    <row r="249" spans="9:12" ht="15.75" customHeight="1" x14ac:dyDescent="0.25">
      <c r="I249" s="75"/>
      <c r="L249" s="55"/>
    </row>
    <row r="250" spans="9:12" ht="15.75" customHeight="1" x14ac:dyDescent="0.25">
      <c r="I250" s="75"/>
      <c r="L250" s="55"/>
    </row>
    <row r="251" spans="9:12" ht="15.75" customHeight="1" x14ac:dyDescent="0.25">
      <c r="I251" s="75"/>
      <c r="L251" s="55"/>
    </row>
    <row r="252" spans="9:12" ht="15.75" customHeight="1" x14ac:dyDescent="0.25">
      <c r="I252" s="75"/>
      <c r="L252" s="55"/>
    </row>
    <row r="253" spans="9:12" ht="15.75" customHeight="1" x14ac:dyDescent="0.25">
      <c r="I253" s="75"/>
      <c r="L253" s="55"/>
    </row>
    <row r="254" spans="9:12" ht="15.75" customHeight="1" x14ac:dyDescent="0.25">
      <c r="I254" s="75"/>
      <c r="L254" s="55"/>
    </row>
    <row r="255" spans="9:12" ht="15.75" customHeight="1" x14ac:dyDescent="0.25">
      <c r="I255" s="75"/>
      <c r="L255" s="55"/>
    </row>
    <row r="256" spans="9:12" ht="15.75" customHeight="1" x14ac:dyDescent="0.25">
      <c r="I256" s="75"/>
      <c r="L256" s="55"/>
    </row>
    <row r="257" spans="9:12" ht="15.75" customHeight="1" x14ac:dyDescent="0.25">
      <c r="I257" s="75"/>
      <c r="L257" s="55"/>
    </row>
    <row r="258" spans="9:12" ht="15.75" customHeight="1" x14ac:dyDescent="0.25">
      <c r="I258" s="75"/>
      <c r="L258" s="55"/>
    </row>
    <row r="259" spans="9:12" ht="15.75" customHeight="1" x14ac:dyDescent="0.25">
      <c r="I259" s="75"/>
      <c r="L259" s="55"/>
    </row>
    <row r="260" spans="9:12" ht="15.75" customHeight="1" x14ac:dyDescent="0.25">
      <c r="I260" s="75"/>
      <c r="L260" s="55"/>
    </row>
    <row r="261" spans="9:12" ht="15.75" customHeight="1" x14ac:dyDescent="0.25">
      <c r="I261" s="75"/>
      <c r="L261" s="55"/>
    </row>
    <row r="262" spans="9:12" ht="15.75" customHeight="1" x14ac:dyDescent="0.25">
      <c r="I262" s="75"/>
      <c r="L262" s="55"/>
    </row>
    <row r="263" spans="9:12" ht="15.75" customHeight="1" x14ac:dyDescent="0.25">
      <c r="I263" s="75"/>
      <c r="L263" s="55"/>
    </row>
    <row r="264" spans="9:12" ht="15.75" customHeight="1" x14ac:dyDescent="0.25">
      <c r="I264" s="75"/>
      <c r="L264" s="55"/>
    </row>
    <row r="265" spans="9:12" ht="15.75" customHeight="1" x14ac:dyDescent="0.25">
      <c r="I265" s="75"/>
      <c r="L265" s="55"/>
    </row>
    <row r="266" spans="9:12" ht="15.75" customHeight="1" x14ac:dyDescent="0.25">
      <c r="I266" s="75"/>
      <c r="L266" s="55"/>
    </row>
    <row r="267" spans="9:12" ht="15.75" customHeight="1" x14ac:dyDescent="0.25">
      <c r="I267" s="75"/>
      <c r="L267" s="55"/>
    </row>
    <row r="268" spans="9:12" ht="15.75" customHeight="1" x14ac:dyDescent="0.25">
      <c r="I268" s="75"/>
      <c r="L268" s="55"/>
    </row>
    <row r="269" spans="9:12" ht="15.75" customHeight="1" x14ac:dyDescent="0.25">
      <c r="I269" s="75"/>
      <c r="L269" s="55"/>
    </row>
    <row r="270" spans="9:12" ht="15.75" customHeight="1" x14ac:dyDescent="0.25">
      <c r="I270" s="75"/>
      <c r="L270" s="55"/>
    </row>
    <row r="271" spans="9:12" ht="15.75" customHeight="1" x14ac:dyDescent="0.25">
      <c r="I271" s="75"/>
      <c r="L271" s="55"/>
    </row>
    <row r="272" spans="9:12" ht="15.75" customHeight="1" x14ac:dyDescent="0.25">
      <c r="I272" s="75"/>
      <c r="L272" s="55"/>
    </row>
    <row r="273" spans="9:12" ht="15.75" customHeight="1" x14ac:dyDescent="0.25">
      <c r="I273" s="75"/>
      <c r="L273" s="55"/>
    </row>
    <row r="274" spans="9:12" ht="15.75" customHeight="1" x14ac:dyDescent="0.25">
      <c r="I274" s="75"/>
      <c r="L274" s="55"/>
    </row>
    <row r="275" spans="9:12" ht="15.75" customHeight="1" x14ac:dyDescent="0.25">
      <c r="I275" s="75"/>
      <c r="L275" s="55"/>
    </row>
    <row r="276" spans="9:12" ht="15.75" customHeight="1" x14ac:dyDescent="0.25">
      <c r="I276" s="75"/>
      <c r="L276" s="55"/>
    </row>
    <row r="277" spans="9:12" ht="15.75" customHeight="1" x14ac:dyDescent="0.25">
      <c r="I277" s="75"/>
      <c r="L277" s="55"/>
    </row>
    <row r="278" spans="9:12" ht="15.75" customHeight="1" x14ac:dyDescent="0.25">
      <c r="I278" s="75"/>
      <c r="L278" s="55"/>
    </row>
    <row r="279" spans="9:12" ht="15.75" customHeight="1" x14ac:dyDescent="0.25">
      <c r="I279" s="75"/>
      <c r="L279" s="55"/>
    </row>
    <row r="280" spans="9:12" ht="15.75" customHeight="1" x14ac:dyDescent="0.25">
      <c r="I280" s="75"/>
      <c r="L280" s="55"/>
    </row>
    <row r="281" spans="9:12" ht="15.75" customHeight="1" x14ac:dyDescent="0.25">
      <c r="I281" s="75"/>
      <c r="L281" s="55"/>
    </row>
    <row r="282" spans="9:12" ht="15.75" customHeight="1" x14ac:dyDescent="0.25">
      <c r="I282" s="75"/>
      <c r="L282" s="55"/>
    </row>
    <row r="283" spans="9:12" ht="15.75" customHeight="1" x14ac:dyDescent="0.25">
      <c r="I283" s="75"/>
      <c r="L283" s="55"/>
    </row>
    <row r="284" spans="9:12" ht="15.75" customHeight="1" x14ac:dyDescent="0.25">
      <c r="I284" s="75"/>
      <c r="L284" s="55"/>
    </row>
    <row r="285" spans="9:12" ht="15.75" customHeight="1" x14ac:dyDescent="0.25">
      <c r="I285" s="75"/>
      <c r="L285" s="55"/>
    </row>
    <row r="286" spans="9:12" ht="15.75" customHeight="1" x14ac:dyDescent="0.25">
      <c r="I286" s="75"/>
      <c r="L286" s="55"/>
    </row>
    <row r="287" spans="9:12" ht="15.75" customHeight="1" x14ac:dyDescent="0.25">
      <c r="I287" s="75"/>
      <c r="L287" s="55"/>
    </row>
    <row r="288" spans="9:12" ht="15.75" customHeight="1" x14ac:dyDescent="0.25">
      <c r="I288" s="75"/>
      <c r="L288" s="55"/>
    </row>
    <row r="289" spans="9:12" ht="15.75" customHeight="1" x14ac:dyDescent="0.25">
      <c r="I289" s="75"/>
      <c r="L289" s="55"/>
    </row>
    <row r="290" spans="9:12" ht="15.75" customHeight="1" x14ac:dyDescent="0.25">
      <c r="I290" s="75"/>
      <c r="L290" s="55"/>
    </row>
    <row r="291" spans="9:12" ht="15.75" customHeight="1" x14ac:dyDescent="0.25">
      <c r="I291" s="75"/>
      <c r="L291" s="55"/>
    </row>
    <row r="292" spans="9:12" ht="15.75" customHeight="1" x14ac:dyDescent="0.25">
      <c r="I292" s="75"/>
      <c r="L292" s="55"/>
    </row>
    <row r="293" spans="9:12" ht="15.75" customHeight="1" x14ac:dyDescent="0.25">
      <c r="I293" s="75"/>
      <c r="L293" s="55"/>
    </row>
    <row r="294" spans="9:12" ht="15.75" customHeight="1" x14ac:dyDescent="0.25">
      <c r="I294" s="75"/>
      <c r="L294" s="55"/>
    </row>
    <row r="295" spans="9:12" ht="15.75" customHeight="1" x14ac:dyDescent="0.25">
      <c r="I295" s="75"/>
      <c r="L295" s="55"/>
    </row>
    <row r="296" spans="9:12" ht="15.75" customHeight="1" x14ac:dyDescent="0.25">
      <c r="I296" s="75"/>
      <c r="L296" s="55"/>
    </row>
    <row r="297" spans="9:12" ht="15.75" customHeight="1" x14ac:dyDescent="0.25">
      <c r="I297" s="75"/>
      <c r="L297" s="55"/>
    </row>
    <row r="298" spans="9:12" ht="15.75" customHeight="1" x14ac:dyDescent="0.25">
      <c r="I298" s="75"/>
      <c r="L298" s="55"/>
    </row>
    <row r="299" spans="9:12" ht="15.75" customHeight="1" x14ac:dyDescent="0.25">
      <c r="I299" s="75"/>
      <c r="L299" s="55"/>
    </row>
    <row r="300" spans="9:12" ht="15.75" customHeight="1" x14ac:dyDescent="0.25">
      <c r="I300" s="75"/>
      <c r="L300" s="55"/>
    </row>
    <row r="301" spans="9:12" ht="15.75" customHeight="1" x14ac:dyDescent="0.25">
      <c r="I301" s="75"/>
      <c r="L301" s="55"/>
    </row>
    <row r="302" spans="9:12" ht="15.75" customHeight="1" x14ac:dyDescent="0.25">
      <c r="I302" s="75"/>
      <c r="L302" s="55"/>
    </row>
    <row r="303" spans="9:12" ht="15.75" customHeight="1" x14ac:dyDescent="0.25">
      <c r="I303" s="75"/>
      <c r="L303" s="55"/>
    </row>
    <row r="304" spans="9:12" ht="15.75" customHeight="1" x14ac:dyDescent="0.25">
      <c r="I304" s="75"/>
      <c r="L304" s="55"/>
    </row>
    <row r="305" spans="9:12" ht="15.75" customHeight="1" x14ac:dyDescent="0.25">
      <c r="I305" s="75"/>
      <c r="L305" s="55"/>
    </row>
    <row r="306" spans="9:12" ht="15.75" customHeight="1" x14ac:dyDescent="0.25">
      <c r="I306" s="75"/>
      <c r="L306" s="55"/>
    </row>
    <row r="307" spans="9:12" ht="15.75" customHeight="1" x14ac:dyDescent="0.25">
      <c r="I307" s="75"/>
      <c r="L307" s="55"/>
    </row>
    <row r="308" spans="9:12" ht="15.75" customHeight="1" x14ac:dyDescent="0.25">
      <c r="I308" s="75"/>
      <c r="L308" s="55"/>
    </row>
    <row r="309" spans="9:12" ht="15.75" customHeight="1" x14ac:dyDescent="0.25">
      <c r="I309" s="75"/>
      <c r="L309" s="55"/>
    </row>
    <row r="310" spans="9:12" ht="15.75" customHeight="1" x14ac:dyDescent="0.25">
      <c r="I310" s="75"/>
      <c r="L310" s="55"/>
    </row>
    <row r="311" spans="9:12" ht="15.75" customHeight="1" x14ac:dyDescent="0.25">
      <c r="I311" s="75"/>
      <c r="L311" s="55"/>
    </row>
    <row r="312" spans="9:12" ht="15.75" customHeight="1" x14ac:dyDescent="0.25">
      <c r="I312" s="75"/>
      <c r="L312" s="55"/>
    </row>
    <row r="313" spans="9:12" ht="15.75" customHeight="1" x14ac:dyDescent="0.25">
      <c r="I313" s="75"/>
      <c r="L313" s="55"/>
    </row>
    <row r="314" spans="9:12" ht="15.75" customHeight="1" x14ac:dyDescent="0.25">
      <c r="I314" s="75"/>
      <c r="L314" s="55"/>
    </row>
    <row r="315" spans="9:12" ht="15.75" customHeight="1" x14ac:dyDescent="0.25">
      <c r="I315" s="75"/>
      <c r="L315" s="55"/>
    </row>
    <row r="316" spans="9:12" ht="15.75" customHeight="1" x14ac:dyDescent="0.25">
      <c r="I316" s="75"/>
      <c r="L316" s="55"/>
    </row>
    <row r="317" spans="9:12" ht="15.75" customHeight="1" x14ac:dyDescent="0.25">
      <c r="I317" s="75"/>
      <c r="L317" s="55"/>
    </row>
    <row r="318" spans="9:12" ht="15.75" customHeight="1" x14ac:dyDescent="0.25">
      <c r="I318" s="75"/>
      <c r="L318" s="55"/>
    </row>
    <row r="319" spans="9:12" ht="15.75" customHeight="1" x14ac:dyDescent="0.25">
      <c r="I319" s="75"/>
      <c r="L319" s="55"/>
    </row>
    <row r="320" spans="9:12" ht="15.75" customHeight="1" x14ac:dyDescent="0.25">
      <c r="I320" s="75"/>
      <c r="L320" s="55"/>
    </row>
    <row r="321" spans="9:12" ht="15.75" customHeight="1" x14ac:dyDescent="0.25">
      <c r="I321" s="75"/>
      <c r="L321" s="55"/>
    </row>
    <row r="322" spans="9:12" ht="15.75" customHeight="1" x14ac:dyDescent="0.25">
      <c r="I322" s="75"/>
      <c r="L322" s="55"/>
    </row>
    <row r="323" spans="9:12" ht="15.75" customHeight="1" x14ac:dyDescent="0.25">
      <c r="I323" s="75"/>
      <c r="L323" s="55"/>
    </row>
    <row r="324" spans="9:12" ht="15.75" customHeight="1" x14ac:dyDescent="0.25">
      <c r="I324" s="75"/>
      <c r="L324" s="55"/>
    </row>
    <row r="325" spans="9:12" ht="15.75" customHeight="1" x14ac:dyDescent="0.25">
      <c r="I325" s="75"/>
      <c r="L325" s="55"/>
    </row>
    <row r="326" spans="9:12" ht="15.75" customHeight="1" x14ac:dyDescent="0.25">
      <c r="I326" s="75"/>
      <c r="L326" s="55"/>
    </row>
    <row r="327" spans="9:12" ht="15.75" customHeight="1" x14ac:dyDescent="0.25">
      <c r="I327" s="75"/>
      <c r="L327" s="55"/>
    </row>
    <row r="328" spans="9:12" ht="15.75" customHeight="1" x14ac:dyDescent="0.25">
      <c r="I328" s="75"/>
      <c r="L328" s="55"/>
    </row>
    <row r="329" spans="9:12" ht="15.75" customHeight="1" x14ac:dyDescent="0.25">
      <c r="I329" s="75"/>
      <c r="L329" s="55"/>
    </row>
    <row r="330" spans="9:12" ht="15.75" customHeight="1" x14ac:dyDescent="0.25">
      <c r="I330" s="75"/>
      <c r="L330" s="55"/>
    </row>
    <row r="331" spans="9:12" ht="15.75" customHeight="1" x14ac:dyDescent="0.25">
      <c r="I331" s="75"/>
      <c r="L331" s="55"/>
    </row>
    <row r="332" spans="9:12" ht="15.75" customHeight="1" x14ac:dyDescent="0.25">
      <c r="I332" s="75"/>
      <c r="L332" s="55"/>
    </row>
    <row r="333" spans="9:12" ht="15.75" customHeight="1" x14ac:dyDescent="0.25">
      <c r="I333" s="75"/>
      <c r="L333" s="55"/>
    </row>
    <row r="334" spans="9:12" ht="15.75" customHeight="1" x14ac:dyDescent="0.25">
      <c r="I334" s="75"/>
      <c r="L334" s="55"/>
    </row>
    <row r="335" spans="9:12" ht="15.75" customHeight="1" x14ac:dyDescent="0.25">
      <c r="I335" s="75"/>
      <c r="L335" s="55"/>
    </row>
    <row r="336" spans="9:12" ht="15.75" customHeight="1" x14ac:dyDescent="0.25">
      <c r="I336" s="75"/>
      <c r="L336" s="55"/>
    </row>
    <row r="337" spans="9:12" ht="15.75" customHeight="1" x14ac:dyDescent="0.25">
      <c r="I337" s="75"/>
      <c r="L337" s="55"/>
    </row>
    <row r="338" spans="9:12" ht="15.75" customHeight="1" x14ac:dyDescent="0.25">
      <c r="I338" s="75"/>
      <c r="L338" s="55"/>
    </row>
    <row r="339" spans="9:12" ht="15.75" customHeight="1" x14ac:dyDescent="0.25">
      <c r="I339" s="75"/>
      <c r="L339" s="55"/>
    </row>
    <row r="340" spans="9:12" ht="15.75" customHeight="1" x14ac:dyDescent="0.25">
      <c r="I340" s="75"/>
      <c r="L340" s="55"/>
    </row>
    <row r="341" spans="9:12" ht="15.75" customHeight="1" x14ac:dyDescent="0.25">
      <c r="I341" s="75"/>
      <c r="L341" s="55"/>
    </row>
    <row r="342" spans="9:12" ht="15.75" customHeight="1" x14ac:dyDescent="0.25">
      <c r="I342" s="75"/>
      <c r="L342" s="55"/>
    </row>
    <row r="343" spans="9:12" ht="15.75" customHeight="1" x14ac:dyDescent="0.25">
      <c r="I343" s="75"/>
      <c r="L343" s="55"/>
    </row>
    <row r="344" spans="9:12" ht="15.75" customHeight="1" x14ac:dyDescent="0.25">
      <c r="I344" s="75"/>
      <c r="L344" s="55"/>
    </row>
    <row r="345" spans="9:12" ht="15.75" customHeight="1" x14ac:dyDescent="0.25">
      <c r="I345" s="75"/>
      <c r="L345" s="55"/>
    </row>
    <row r="346" spans="9:12" ht="15.75" customHeight="1" x14ac:dyDescent="0.25">
      <c r="I346" s="75"/>
      <c r="L346" s="55"/>
    </row>
    <row r="347" spans="9:12" ht="15.75" customHeight="1" x14ac:dyDescent="0.25">
      <c r="I347" s="75"/>
      <c r="L347" s="55"/>
    </row>
    <row r="348" spans="9:12" ht="15.75" customHeight="1" x14ac:dyDescent="0.25">
      <c r="I348" s="75"/>
      <c r="L348" s="55"/>
    </row>
    <row r="349" spans="9:12" ht="15.75" customHeight="1" x14ac:dyDescent="0.25">
      <c r="I349" s="75"/>
      <c r="L349" s="55"/>
    </row>
    <row r="350" spans="9:12" ht="15.75" customHeight="1" x14ac:dyDescent="0.25">
      <c r="I350" s="75"/>
      <c r="L350" s="55"/>
    </row>
    <row r="351" spans="9:12" ht="15.75" customHeight="1" x14ac:dyDescent="0.25">
      <c r="I351" s="75"/>
      <c r="L351" s="55"/>
    </row>
    <row r="352" spans="9:12" ht="15.75" customHeight="1" x14ac:dyDescent="0.25">
      <c r="I352" s="75"/>
      <c r="L352" s="55"/>
    </row>
    <row r="353" spans="9:12" ht="15.75" customHeight="1" x14ac:dyDescent="0.25">
      <c r="I353" s="75"/>
      <c r="L353" s="55"/>
    </row>
    <row r="354" spans="9:12" ht="15.75" customHeight="1" x14ac:dyDescent="0.25">
      <c r="I354" s="75"/>
      <c r="L354" s="55"/>
    </row>
    <row r="355" spans="9:12" ht="15.75" customHeight="1" x14ac:dyDescent="0.25">
      <c r="I355" s="75"/>
      <c r="L355" s="55"/>
    </row>
    <row r="356" spans="9:12" ht="15.75" customHeight="1" x14ac:dyDescent="0.25">
      <c r="I356" s="75"/>
      <c r="L356" s="55"/>
    </row>
    <row r="357" spans="9:12" ht="15.75" customHeight="1" x14ac:dyDescent="0.25">
      <c r="I357" s="75"/>
      <c r="L357" s="55"/>
    </row>
    <row r="358" spans="9:12" ht="15.75" customHeight="1" x14ac:dyDescent="0.25">
      <c r="I358" s="75"/>
      <c r="L358" s="55"/>
    </row>
    <row r="359" spans="9:12" ht="15.75" customHeight="1" x14ac:dyDescent="0.25">
      <c r="I359" s="75"/>
      <c r="L359" s="55"/>
    </row>
    <row r="360" spans="9:12" ht="15.75" customHeight="1" x14ac:dyDescent="0.25">
      <c r="I360" s="75"/>
      <c r="L360" s="55"/>
    </row>
    <row r="361" spans="9:12" ht="15.75" customHeight="1" x14ac:dyDescent="0.25">
      <c r="I361" s="75"/>
      <c r="L361" s="55"/>
    </row>
    <row r="362" spans="9:12" ht="15.75" customHeight="1" x14ac:dyDescent="0.25">
      <c r="I362" s="75"/>
      <c r="L362" s="55"/>
    </row>
    <row r="363" spans="9:12" ht="15.75" customHeight="1" x14ac:dyDescent="0.25">
      <c r="I363" s="75"/>
      <c r="L363" s="55"/>
    </row>
    <row r="364" spans="9:12" ht="15.75" customHeight="1" x14ac:dyDescent="0.25">
      <c r="I364" s="75"/>
      <c r="L364" s="55"/>
    </row>
    <row r="365" spans="9:12" ht="15.75" customHeight="1" x14ac:dyDescent="0.25">
      <c r="I365" s="75"/>
      <c r="L365" s="55"/>
    </row>
    <row r="366" spans="9:12" ht="15.75" customHeight="1" x14ac:dyDescent="0.25">
      <c r="I366" s="75"/>
      <c r="L366" s="55"/>
    </row>
    <row r="367" spans="9:12" ht="15.75" customHeight="1" x14ac:dyDescent="0.25">
      <c r="I367" s="75"/>
      <c r="L367" s="55"/>
    </row>
    <row r="368" spans="9:12" ht="15.75" customHeight="1" x14ac:dyDescent="0.25">
      <c r="I368" s="75"/>
      <c r="L368" s="55"/>
    </row>
    <row r="369" spans="9:12" ht="15.75" customHeight="1" x14ac:dyDescent="0.25">
      <c r="I369" s="75"/>
      <c r="L369" s="55"/>
    </row>
    <row r="370" spans="9:12" ht="15.75" customHeight="1" x14ac:dyDescent="0.25">
      <c r="I370" s="75"/>
      <c r="L370" s="55"/>
    </row>
    <row r="371" spans="9:12" ht="15.75" customHeight="1" x14ac:dyDescent="0.25">
      <c r="I371" s="75"/>
      <c r="L371" s="55"/>
    </row>
    <row r="372" spans="9:12" ht="15.75" customHeight="1" x14ac:dyDescent="0.25">
      <c r="I372" s="75"/>
      <c r="L372" s="55"/>
    </row>
    <row r="373" spans="9:12" ht="15.75" customHeight="1" x14ac:dyDescent="0.25">
      <c r="I373" s="75"/>
      <c r="L373" s="55"/>
    </row>
    <row r="374" spans="9:12" ht="15.75" customHeight="1" x14ac:dyDescent="0.25">
      <c r="I374" s="75"/>
      <c r="L374" s="55"/>
    </row>
    <row r="375" spans="9:12" ht="15.75" customHeight="1" x14ac:dyDescent="0.25">
      <c r="I375" s="75"/>
      <c r="L375" s="55"/>
    </row>
    <row r="376" spans="9:12" ht="15.75" customHeight="1" x14ac:dyDescent="0.25">
      <c r="I376" s="75"/>
      <c r="L376" s="55"/>
    </row>
    <row r="377" spans="9:12" ht="15.75" customHeight="1" x14ac:dyDescent="0.25">
      <c r="I377" s="75"/>
      <c r="L377" s="55"/>
    </row>
    <row r="378" spans="9:12" ht="15.75" customHeight="1" x14ac:dyDescent="0.25">
      <c r="I378" s="75"/>
      <c r="L378" s="55"/>
    </row>
    <row r="379" spans="9:12" ht="15.75" customHeight="1" x14ac:dyDescent="0.25">
      <c r="I379" s="75"/>
      <c r="L379" s="55"/>
    </row>
    <row r="380" spans="9:12" ht="15.75" customHeight="1" x14ac:dyDescent="0.25">
      <c r="I380" s="75"/>
      <c r="L380" s="55"/>
    </row>
    <row r="381" spans="9:12" ht="15.75" customHeight="1" x14ac:dyDescent="0.25">
      <c r="I381" s="75"/>
      <c r="L381" s="55"/>
    </row>
    <row r="382" spans="9:12" ht="15.75" customHeight="1" x14ac:dyDescent="0.25">
      <c r="I382" s="75"/>
      <c r="L382" s="55"/>
    </row>
    <row r="383" spans="9:12" ht="15.75" customHeight="1" x14ac:dyDescent="0.25">
      <c r="I383" s="75"/>
      <c r="L383" s="55"/>
    </row>
    <row r="384" spans="9:12" ht="15.75" customHeight="1" x14ac:dyDescent="0.25">
      <c r="I384" s="75"/>
      <c r="L384" s="55"/>
    </row>
    <row r="385" spans="9:12" ht="15.75" customHeight="1" x14ac:dyDescent="0.25">
      <c r="I385" s="75"/>
      <c r="L385" s="55"/>
    </row>
    <row r="386" spans="9:12" ht="15.75" customHeight="1" x14ac:dyDescent="0.25">
      <c r="I386" s="75"/>
      <c r="L386" s="55"/>
    </row>
    <row r="387" spans="9:12" ht="15.75" customHeight="1" x14ac:dyDescent="0.25">
      <c r="I387" s="75"/>
      <c r="L387" s="55"/>
    </row>
    <row r="388" spans="9:12" ht="15.75" customHeight="1" x14ac:dyDescent="0.25">
      <c r="I388" s="75"/>
      <c r="L388" s="55"/>
    </row>
    <row r="389" spans="9:12" ht="15.75" customHeight="1" x14ac:dyDescent="0.25">
      <c r="I389" s="75"/>
      <c r="L389" s="55"/>
    </row>
    <row r="390" spans="9:12" ht="15.75" customHeight="1" x14ac:dyDescent="0.25">
      <c r="I390" s="75"/>
      <c r="L390" s="55"/>
    </row>
    <row r="391" spans="9:12" ht="15.75" customHeight="1" x14ac:dyDescent="0.25">
      <c r="I391" s="75"/>
      <c r="L391" s="55"/>
    </row>
    <row r="392" spans="9:12" ht="15.75" customHeight="1" x14ac:dyDescent="0.25">
      <c r="I392" s="75"/>
      <c r="L392" s="55"/>
    </row>
    <row r="393" spans="9:12" ht="15.75" customHeight="1" x14ac:dyDescent="0.25">
      <c r="I393" s="75"/>
      <c r="L393" s="55"/>
    </row>
    <row r="394" spans="9:12" ht="15.75" customHeight="1" x14ac:dyDescent="0.25">
      <c r="I394" s="75"/>
      <c r="L394" s="55"/>
    </row>
    <row r="395" spans="9:12" ht="15.75" customHeight="1" x14ac:dyDescent="0.25">
      <c r="I395" s="75"/>
      <c r="L395" s="55"/>
    </row>
    <row r="396" spans="9:12" ht="15.75" customHeight="1" x14ac:dyDescent="0.25">
      <c r="I396" s="75"/>
      <c r="L396" s="55"/>
    </row>
    <row r="397" spans="9:12" ht="15.75" customHeight="1" x14ac:dyDescent="0.25">
      <c r="I397" s="75"/>
      <c r="L397" s="55"/>
    </row>
    <row r="398" spans="9:12" ht="15.75" customHeight="1" x14ac:dyDescent="0.25">
      <c r="I398" s="75"/>
      <c r="L398" s="55"/>
    </row>
    <row r="399" spans="9:12" ht="15.75" customHeight="1" x14ac:dyDescent="0.25">
      <c r="I399" s="75"/>
      <c r="L399" s="55"/>
    </row>
    <row r="400" spans="9:12" ht="15.75" customHeight="1" x14ac:dyDescent="0.25">
      <c r="I400" s="75"/>
      <c r="L400" s="55"/>
    </row>
    <row r="401" spans="9:12" ht="15.75" customHeight="1" x14ac:dyDescent="0.25">
      <c r="I401" s="75"/>
      <c r="L401" s="55"/>
    </row>
    <row r="402" spans="9:12" ht="15.75" customHeight="1" x14ac:dyDescent="0.25">
      <c r="I402" s="75"/>
      <c r="L402" s="55"/>
    </row>
    <row r="403" spans="9:12" ht="15.75" customHeight="1" x14ac:dyDescent="0.25">
      <c r="I403" s="75"/>
      <c r="L403" s="55"/>
    </row>
    <row r="404" spans="9:12" ht="15.75" customHeight="1" x14ac:dyDescent="0.25">
      <c r="I404" s="75"/>
      <c r="L404" s="55"/>
    </row>
    <row r="405" spans="9:12" ht="15.75" customHeight="1" x14ac:dyDescent="0.25">
      <c r="I405" s="75"/>
      <c r="L405" s="55"/>
    </row>
    <row r="406" spans="9:12" ht="15.75" customHeight="1" x14ac:dyDescent="0.25">
      <c r="I406" s="75"/>
      <c r="L406" s="55"/>
    </row>
    <row r="407" spans="9:12" ht="15.75" customHeight="1" x14ac:dyDescent="0.25">
      <c r="I407" s="75"/>
      <c r="L407" s="55"/>
    </row>
    <row r="408" spans="9:12" ht="15.75" customHeight="1" x14ac:dyDescent="0.25">
      <c r="I408" s="75"/>
      <c r="L408" s="55"/>
    </row>
    <row r="409" spans="9:12" ht="15.75" customHeight="1" x14ac:dyDescent="0.25">
      <c r="I409" s="75"/>
      <c r="L409" s="55"/>
    </row>
    <row r="410" spans="9:12" ht="15.75" customHeight="1" x14ac:dyDescent="0.25">
      <c r="I410" s="75"/>
      <c r="L410" s="55"/>
    </row>
    <row r="411" spans="9:12" ht="15.75" customHeight="1" x14ac:dyDescent="0.25">
      <c r="I411" s="75"/>
      <c r="L411" s="55"/>
    </row>
    <row r="412" spans="9:12" ht="15.75" customHeight="1" x14ac:dyDescent="0.25">
      <c r="I412" s="75"/>
      <c r="L412" s="55"/>
    </row>
    <row r="413" spans="9:12" ht="15.75" customHeight="1" x14ac:dyDescent="0.25">
      <c r="I413" s="75"/>
      <c r="L413" s="55"/>
    </row>
    <row r="414" spans="9:12" ht="15.75" customHeight="1" x14ac:dyDescent="0.25">
      <c r="I414" s="75"/>
      <c r="L414" s="55"/>
    </row>
    <row r="415" spans="9:12" ht="15.75" customHeight="1" x14ac:dyDescent="0.25">
      <c r="I415" s="75"/>
      <c r="L415" s="55"/>
    </row>
    <row r="416" spans="9:12" ht="15.75" customHeight="1" x14ac:dyDescent="0.25">
      <c r="I416" s="75"/>
      <c r="L416" s="55"/>
    </row>
    <row r="417" spans="9:12" ht="15.75" customHeight="1" x14ac:dyDescent="0.25">
      <c r="I417" s="75"/>
      <c r="L417" s="55"/>
    </row>
    <row r="418" spans="9:12" ht="15.75" customHeight="1" x14ac:dyDescent="0.25">
      <c r="I418" s="75"/>
      <c r="L418" s="55"/>
    </row>
    <row r="419" spans="9:12" ht="15.75" customHeight="1" x14ac:dyDescent="0.25">
      <c r="I419" s="75"/>
      <c r="L419" s="55"/>
    </row>
    <row r="420" spans="9:12" ht="15.75" customHeight="1" x14ac:dyDescent="0.25">
      <c r="I420" s="75"/>
      <c r="L420" s="55"/>
    </row>
    <row r="421" spans="9:12" ht="15.75" customHeight="1" x14ac:dyDescent="0.25">
      <c r="I421" s="75"/>
      <c r="L421" s="55"/>
    </row>
    <row r="422" spans="9:12" ht="15.75" customHeight="1" x14ac:dyDescent="0.25">
      <c r="I422" s="75"/>
      <c r="L422" s="55"/>
    </row>
    <row r="423" spans="9:12" ht="15.75" customHeight="1" x14ac:dyDescent="0.25">
      <c r="I423" s="75"/>
      <c r="L423" s="55"/>
    </row>
    <row r="424" spans="9:12" ht="15.75" customHeight="1" x14ac:dyDescent="0.25">
      <c r="I424" s="75"/>
      <c r="L424" s="55"/>
    </row>
    <row r="425" spans="9:12" ht="15.75" customHeight="1" x14ac:dyDescent="0.25">
      <c r="I425" s="75"/>
      <c r="L425" s="55"/>
    </row>
    <row r="426" spans="9:12" ht="15.75" customHeight="1" x14ac:dyDescent="0.25">
      <c r="I426" s="75"/>
      <c r="L426" s="55"/>
    </row>
    <row r="427" spans="9:12" ht="15.75" customHeight="1" x14ac:dyDescent="0.25">
      <c r="I427" s="75"/>
      <c r="L427" s="55"/>
    </row>
    <row r="428" spans="9:12" ht="15.75" customHeight="1" x14ac:dyDescent="0.25">
      <c r="I428" s="75"/>
      <c r="L428" s="55"/>
    </row>
    <row r="429" spans="9:12" ht="15.75" customHeight="1" x14ac:dyDescent="0.25">
      <c r="I429" s="75"/>
      <c r="L429" s="55"/>
    </row>
    <row r="430" spans="9:12" ht="15.75" customHeight="1" x14ac:dyDescent="0.25">
      <c r="I430" s="75"/>
      <c r="L430" s="55"/>
    </row>
    <row r="431" spans="9:12" ht="15.75" customHeight="1" x14ac:dyDescent="0.25">
      <c r="I431" s="75"/>
      <c r="L431" s="55"/>
    </row>
    <row r="432" spans="9:12" ht="15.75" customHeight="1" x14ac:dyDescent="0.25">
      <c r="I432" s="75"/>
      <c r="L432" s="55"/>
    </row>
    <row r="433" spans="9:12" ht="15.75" customHeight="1" x14ac:dyDescent="0.25">
      <c r="I433" s="75"/>
      <c r="L433" s="55"/>
    </row>
    <row r="434" spans="9:12" ht="15.75" customHeight="1" x14ac:dyDescent="0.25">
      <c r="I434" s="75"/>
      <c r="L434" s="55"/>
    </row>
    <row r="435" spans="9:12" ht="15.75" customHeight="1" x14ac:dyDescent="0.25">
      <c r="I435" s="75"/>
      <c r="L435" s="55"/>
    </row>
    <row r="436" spans="9:12" ht="15.75" customHeight="1" x14ac:dyDescent="0.25">
      <c r="I436" s="75"/>
      <c r="L436" s="55"/>
    </row>
    <row r="437" spans="9:12" ht="15.75" customHeight="1" x14ac:dyDescent="0.25">
      <c r="I437" s="75"/>
      <c r="L437" s="55"/>
    </row>
    <row r="438" spans="9:12" ht="15.75" customHeight="1" x14ac:dyDescent="0.25">
      <c r="I438" s="75"/>
      <c r="L438" s="55"/>
    </row>
    <row r="439" spans="9:12" ht="15.75" customHeight="1" x14ac:dyDescent="0.25">
      <c r="I439" s="75"/>
      <c r="L439" s="55"/>
    </row>
    <row r="440" spans="9:12" ht="15.75" customHeight="1" x14ac:dyDescent="0.25">
      <c r="I440" s="75"/>
      <c r="L440" s="55"/>
    </row>
    <row r="441" spans="9:12" ht="15.75" customHeight="1" x14ac:dyDescent="0.25">
      <c r="I441" s="75"/>
      <c r="L441" s="55"/>
    </row>
    <row r="442" spans="9:12" ht="15.75" customHeight="1" x14ac:dyDescent="0.25">
      <c r="I442" s="75"/>
      <c r="L442" s="55"/>
    </row>
    <row r="443" spans="9:12" ht="15.75" customHeight="1" x14ac:dyDescent="0.25">
      <c r="I443" s="75"/>
      <c r="L443" s="55"/>
    </row>
    <row r="444" spans="9:12" ht="15.75" customHeight="1" x14ac:dyDescent="0.25">
      <c r="I444" s="75"/>
      <c r="L444" s="55"/>
    </row>
    <row r="445" spans="9:12" ht="15.75" customHeight="1" x14ac:dyDescent="0.25">
      <c r="I445" s="75"/>
      <c r="L445" s="55"/>
    </row>
    <row r="446" spans="9:12" ht="15.75" customHeight="1" x14ac:dyDescent="0.25">
      <c r="I446" s="75"/>
      <c r="L446" s="55"/>
    </row>
    <row r="447" spans="9:12" ht="15.75" customHeight="1" x14ac:dyDescent="0.25">
      <c r="I447" s="75"/>
      <c r="L447" s="55"/>
    </row>
    <row r="448" spans="9:12" ht="15.75" customHeight="1" x14ac:dyDescent="0.25">
      <c r="I448" s="75"/>
      <c r="L448" s="55"/>
    </row>
    <row r="449" spans="9:12" ht="15.75" customHeight="1" x14ac:dyDescent="0.25">
      <c r="I449" s="75"/>
      <c r="L449" s="55"/>
    </row>
    <row r="450" spans="9:12" ht="15.75" customHeight="1" x14ac:dyDescent="0.25">
      <c r="I450" s="75"/>
      <c r="L450" s="55"/>
    </row>
    <row r="451" spans="9:12" ht="15.75" customHeight="1" x14ac:dyDescent="0.25">
      <c r="I451" s="75"/>
      <c r="L451" s="55"/>
    </row>
    <row r="452" spans="9:12" ht="15.75" customHeight="1" x14ac:dyDescent="0.25">
      <c r="I452" s="75"/>
      <c r="L452" s="55"/>
    </row>
    <row r="453" spans="9:12" ht="15.75" customHeight="1" x14ac:dyDescent="0.25">
      <c r="I453" s="75"/>
      <c r="L453" s="55"/>
    </row>
    <row r="454" spans="9:12" ht="15.75" customHeight="1" x14ac:dyDescent="0.25">
      <c r="I454" s="75"/>
      <c r="L454" s="55"/>
    </row>
    <row r="455" spans="9:12" ht="15.75" customHeight="1" x14ac:dyDescent="0.25">
      <c r="I455" s="75"/>
      <c r="L455" s="55"/>
    </row>
    <row r="456" spans="9:12" ht="15.75" customHeight="1" x14ac:dyDescent="0.25">
      <c r="I456" s="75"/>
      <c r="L456" s="55"/>
    </row>
    <row r="457" spans="9:12" ht="15.75" customHeight="1" x14ac:dyDescent="0.25">
      <c r="I457" s="75"/>
      <c r="L457" s="55"/>
    </row>
    <row r="458" spans="9:12" ht="15.75" customHeight="1" x14ac:dyDescent="0.25">
      <c r="I458" s="75"/>
      <c r="L458" s="55"/>
    </row>
    <row r="459" spans="9:12" ht="15.75" customHeight="1" x14ac:dyDescent="0.25">
      <c r="I459" s="75"/>
      <c r="L459" s="55"/>
    </row>
    <row r="460" spans="9:12" ht="15.75" customHeight="1" x14ac:dyDescent="0.25">
      <c r="I460" s="75"/>
      <c r="L460" s="55"/>
    </row>
    <row r="461" spans="9:12" ht="15.75" customHeight="1" x14ac:dyDescent="0.25">
      <c r="I461" s="75"/>
      <c r="L461" s="55"/>
    </row>
    <row r="462" spans="9:12" ht="15.75" customHeight="1" x14ac:dyDescent="0.25">
      <c r="I462" s="75"/>
      <c r="L462" s="55"/>
    </row>
    <row r="463" spans="9:12" ht="15.75" customHeight="1" x14ac:dyDescent="0.25">
      <c r="I463" s="75"/>
      <c r="L463" s="55"/>
    </row>
    <row r="464" spans="9:12" ht="15.75" customHeight="1" x14ac:dyDescent="0.25">
      <c r="I464" s="75"/>
      <c r="L464" s="55"/>
    </row>
    <row r="465" spans="9:12" ht="15.75" customHeight="1" x14ac:dyDescent="0.25">
      <c r="I465" s="75"/>
      <c r="L465" s="55"/>
    </row>
    <row r="466" spans="9:12" ht="15.75" customHeight="1" x14ac:dyDescent="0.25">
      <c r="I466" s="75"/>
      <c r="L466" s="55"/>
    </row>
    <row r="467" spans="9:12" ht="15.75" customHeight="1" x14ac:dyDescent="0.25">
      <c r="I467" s="75"/>
      <c r="L467" s="55"/>
    </row>
    <row r="468" spans="9:12" ht="15.75" customHeight="1" x14ac:dyDescent="0.25">
      <c r="I468" s="75"/>
      <c r="L468" s="55"/>
    </row>
    <row r="469" spans="9:12" ht="15.75" customHeight="1" x14ac:dyDescent="0.25">
      <c r="I469" s="75"/>
      <c r="L469" s="55"/>
    </row>
    <row r="470" spans="9:12" ht="15.75" customHeight="1" x14ac:dyDescent="0.25">
      <c r="I470" s="75"/>
      <c r="L470" s="55"/>
    </row>
    <row r="471" spans="9:12" ht="15.75" customHeight="1" x14ac:dyDescent="0.25">
      <c r="I471" s="75"/>
      <c r="L471" s="55"/>
    </row>
    <row r="472" spans="9:12" ht="15.75" customHeight="1" x14ac:dyDescent="0.25">
      <c r="I472" s="75"/>
      <c r="L472" s="55"/>
    </row>
    <row r="473" spans="9:12" ht="15.75" customHeight="1" x14ac:dyDescent="0.25">
      <c r="I473" s="75"/>
      <c r="L473" s="55"/>
    </row>
    <row r="474" spans="9:12" ht="15.75" customHeight="1" x14ac:dyDescent="0.25">
      <c r="I474" s="75"/>
      <c r="L474" s="55"/>
    </row>
    <row r="475" spans="9:12" ht="15.75" customHeight="1" x14ac:dyDescent="0.25">
      <c r="I475" s="75"/>
      <c r="L475" s="55"/>
    </row>
    <row r="476" spans="9:12" ht="15.75" customHeight="1" x14ac:dyDescent="0.25">
      <c r="I476" s="75"/>
      <c r="L476" s="55"/>
    </row>
    <row r="477" spans="9:12" ht="15.75" customHeight="1" x14ac:dyDescent="0.25">
      <c r="I477" s="75"/>
      <c r="L477" s="55"/>
    </row>
    <row r="478" spans="9:12" ht="15.75" customHeight="1" x14ac:dyDescent="0.25">
      <c r="I478" s="75"/>
      <c r="L478" s="55"/>
    </row>
    <row r="479" spans="9:12" ht="15.75" customHeight="1" x14ac:dyDescent="0.25">
      <c r="I479" s="75"/>
      <c r="L479" s="55"/>
    </row>
    <row r="480" spans="9:12" ht="15.75" customHeight="1" x14ac:dyDescent="0.25">
      <c r="I480" s="75"/>
      <c r="L480" s="55"/>
    </row>
    <row r="481" spans="9:12" ht="15.75" customHeight="1" x14ac:dyDescent="0.25">
      <c r="I481" s="75"/>
      <c r="L481" s="55"/>
    </row>
    <row r="482" spans="9:12" ht="15.75" customHeight="1" x14ac:dyDescent="0.25">
      <c r="I482" s="75"/>
      <c r="L482" s="55"/>
    </row>
    <row r="483" spans="9:12" ht="15.75" customHeight="1" x14ac:dyDescent="0.25">
      <c r="I483" s="75"/>
      <c r="L483" s="55"/>
    </row>
    <row r="484" spans="9:12" ht="15.75" customHeight="1" x14ac:dyDescent="0.25">
      <c r="I484" s="75"/>
      <c r="L484" s="55"/>
    </row>
    <row r="485" spans="9:12" ht="15.75" customHeight="1" x14ac:dyDescent="0.25">
      <c r="I485" s="75"/>
      <c r="L485" s="55"/>
    </row>
    <row r="486" spans="9:12" ht="15.75" customHeight="1" x14ac:dyDescent="0.25">
      <c r="I486" s="75"/>
      <c r="L486" s="55"/>
    </row>
    <row r="487" spans="9:12" ht="15.75" customHeight="1" x14ac:dyDescent="0.25">
      <c r="I487" s="75"/>
      <c r="L487" s="55"/>
    </row>
    <row r="488" spans="9:12" ht="15.75" customHeight="1" x14ac:dyDescent="0.25">
      <c r="I488" s="75"/>
      <c r="L488" s="55"/>
    </row>
    <row r="489" spans="9:12" ht="15.75" customHeight="1" x14ac:dyDescent="0.25">
      <c r="I489" s="75"/>
      <c r="L489" s="55"/>
    </row>
    <row r="490" spans="9:12" ht="15.75" customHeight="1" x14ac:dyDescent="0.25">
      <c r="I490" s="75"/>
      <c r="L490" s="55"/>
    </row>
    <row r="491" spans="9:12" ht="15.75" customHeight="1" x14ac:dyDescent="0.25">
      <c r="I491" s="75"/>
      <c r="L491" s="55"/>
    </row>
    <row r="492" spans="9:12" ht="15.75" customHeight="1" x14ac:dyDescent="0.25">
      <c r="I492" s="75"/>
      <c r="L492" s="55"/>
    </row>
    <row r="493" spans="9:12" ht="15.75" customHeight="1" x14ac:dyDescent="0.25">
      <c r="I493" s="75"/>
      <c r="L493" s="55"/>
    </row>
    <row r="494" spans="9:12" ht="15.75" customHeight="1" x14ac:dyDescent="0.25">
      <c r="I494" s="75"/>
      <c r="L494" s="55"/>
    </row>
    <row r="495" spans="9:12" ht="15.75" customHeight="1" x14ac:dyDescent="0.25">
      <c r="I495" s="75"/>
      <c r="L495" s="55"/>
    </row>
    <row r="496" spans="9:12" ht="15.75" customHeight="1" x14ac:dyDescent="0.25">
      <c r="I496" s="75"/>
      <c r="L496" s="55"/>
    </row>
    <row r="497" spans="9:12" ht="15.75" customHeight="1" x14ac:dyDescent="0.25">
      <c r="I497" s="75"/>
      <c r="L497" s="55"/>
    </row>
    <row r="498" spans="9:12" ht="15.75" customHeight="1" x14ac:dyDescent="0.25">
      <c r="I498" s="75"/>
      <c r="L498" s="55"/>
    </row>
    <row r="499" spans="9:12" ht="15.75" customHeight="1" x14ac:dyDescent="0.25">
      <c r="I499" s="75"/>
      <c r="L499" s="55"/>
    </row>
    <row r="500" spans="9:12" ht="15.75" customHeight="1" x14ac:dyDescent="0.25">
      <c r="I500" s="75"/>
      <c r="L500" s="55"/>
    </row>
    <row r="501" spans="9:12" ht="15.75" customHeight="1" x14ac:dyDescent="0.25">
      <c r="I501" s="75"/>
      <c r="L501" s="55"/>
    </row>
    <row r="502" spans="9:12" ht="15.75" customHeight="1" x14ac:dyDescent="0.25">
      <c r="I502" s="75"/>
      <c r="L502" s="55"/>
    </row>
    <row r="503" spans="9:12" ht="15.75" customHeight="1" x14ac:dyDescent="0.25">
      <c r="I503" s="75"/>
      <c r="L503" s="55"/>
    </row>
    <row r="504" spans="9:12" ht="15.75" customHeight="1" x14ac:dyDescent="0.25">
      <c r="I504" s="75"/>
      <c r="L504" s="55"/>
    </row>
    <row r="505" spans="9:12" ht="15.75" customHeight="1" x14ac:dyDescent="0.25">
      <c r="I505" s="75"/>
      <c r="L505" s="55"/>
    </row>
    <row r="506" spans="9:12" ht="15.75" customHeight="1" x14ac:dyDescent="0.25">
      <c r="I506" s="75"/>
      <c r="L506" s="55"/>
    </row>
    <row r="507" spans="9:12" ht="15.75" customHeight="1" x14ac:dyDescent="0.25">
      <c r="I507" s="75"/>
      <c r="L507" s="55"/>
    </row>
    <row r="508" spans="9:12" ht="15.75" customHeight="1" x14ac:dyDescent="0.25">
      <c r="I508" s="75"/>
      <c r="L508" s="55"/>
    </row>
    <row r="509" spans="9:12" ht="15.75" customHeight="1" x14ac:dyDescent="0.25">
      <c r="I509" s="75"/>
      <c r="L509" s="55"/>
    </row>
    <row r="510" spans="9:12" ht="15.75" customHeight="1" x14ac:dyDescent="0.25">
      <c r="I510" s="75"/>
      <c r="L510" s="55"/>
    </row>
    <row r="511" spans="9:12" ht="15.75" customHeight="1" x14ac:dyDescent="0.25">
      <c r="I511" s="75"/>
      <c r="L511" s="55"/>
    </row>
    <row r="512" spans="9:12" ht="15.75" customHeight="1" x14ac:dyDescent="0.25">
      <c r="I512" s="75"/>
      <c r="L512" s="55"/>
    </row>
    <row r="513" spans="9:12" ht="15.75" customHeight="1" x14ac:dyDescent="0.25">
      <c r="I513" s="75"/>
      <c r="L513" s="55"/>
    </row>
    <row r="514" spans="9:12" ht="15.75" customHeight="1" x14ac:dyDescent="0.25">
      <c r="I514" s="75"/>
      <c r="L514" s="55"/>
    </row>
    <row r="515" spans="9:12" ht="15.75" customHeight="1" x14ac:dyDescent="0.25">
      <c r="I515" s="75"/>
      <c r="L515" s="55"/>
    </row>
    <row r="516" spans="9:12" ht="15.75" customHeight="1" x14ac:dyDescent="0.25">
      <c r="I516" s="75"/>
      <c r="L516" s="55"/>
    </row>
    <row r="517" spans="9:12" ht="15.75" customHeight="1" x14ac:dyDescent="0.25">
      <c r="I517" s="75"/>
      <c r="L517" s="55"/>
    </row>
    <row r="518" spans="9:12" ht="15.75" customHeight="1" x14ac:dyDescent="0.25">
      <c r="I518" s="75"/>
      <c r="L518" s="55"/>
    </row>
    <row r="519" spans="9:12" ht="15.75" customHeight="1" x14ac:dyDescent="0.25">
      <c r="I519" s="75"/>
      <c r="L519" s="55"/>
    </row>
    <row r="520" spans="9:12" ht="15.75" customHeight="1" x14ac:dyDescent="0.25">
      <c r="I520" s="75"/>
      <c r="L520" s="55"/>
    </row>
    <row r="521" spans="9:12" ht="15.75" customHeight="1" x14ac:dyDescent="0.25">
      <c r="I521" s="75"/>
      <c r="L521" s="55"/>
    </row>
    <row r="522" spans="9:12" ht="15.75" customHeight="1" x14ac:dyDescent="0.25">
      <c r="I522" s="75"/>
      <c r="L522" s="55"/>
    </row>
    <row r="523" spans="9:12" ht="15.75" customHeight="1" x14ac:dyDescent="0.25">
      <c r="I523" s="75"/>
      <c r="L523" s="55"/>
    </row>
    <row r="524" spans="9:12" ht="15.75" customHeight="1" x14ac:dyDescent="0.25">
      <c r="I524" s="75"/>
      <c r="L524" s="55"/>
    </row>
    <row r="525" spans="9:12" ht="15.75" customHeight="1" x14ac:dyDescent="0.25">
      <c r="I525" s="75"/>
      <c r="L525" s="55"/>
    </row>
    <row r="526" spans="9:12" ht="15.75" customHeight="1" x14ac:dyDescent="0.25">
      <c r="I526" s="75"/>
      <c r="L526" s="55"/>
    </row>
    <row r="527" spans="9:12" ht="15.75" customHeight="1" x14ac:dyDescent="0.25">
      <c r="I527" s="75"/>
      <c r="L527" s="55"/>
    </row>
    <row r="528" spans="9:12" ht="15.75" customHeight="1" x14ac:dyDescent="0.25">
      <c r="I528" s="75"/>
      <c r="L528" s="55"/>
    </row>
    <row r="529" spans="9:12" ht="15.75" customHeight="1" x14ac:dyDescent="0.25">
      <c r="I529" s="75"/>
      <c r="L529" s="55"/>
    </row>
    <row r="530" spans="9:12" ht="15.75" customHeight="1" x14ac:dyDescent="0.25">
      <c r="I530" s="75"/>
      <c r="L530" s="55"/>
    </row>
    <row r="531" spans="9:12" ht="15.75" customHeight="1" x14ac:dyDescent="0.25">
      <c r="I531" s="75"/>
      <c r="L531" s="55"/>
    </row>
    <row r="532" spans="9:12" ht="15.75" customHeight="1" x14ac:dyDescent="0.25">
      <c r="I532" s="75"/>
      <c r="L532" s="55"/>
    </row>
    <row r="533" spans="9:12" ht="15.75" customHeight="1" x14ac:dyDescent="0.25">
      <c r="I533" s="75"/>
      <c r="L533" s="55"/>
    </row>
    <row r="534" spans="9:12" ht="15.75" customHeight="1" x14ac:dyDescent="0.25">
      <c r="I534" s="75"/>
      <c r="L534" s="55"/>
    </row>
    <row r="535" spans="9:12" ht="15.75" customHeight="1" x14ac:dyDescent="0.25">
      <c r="I535" s="75"/>
      <c r="L535" s="55"/>
    </row>
    <row r="536" spans="9:12" ht="15.75" customHeight="1" x14ac:dyDescent="0.25">
      <c r="I536" s="75"/>
      <c r="L536" s="55"/>
    </row>
    <row r="537" spans="9:12" ht="15.75" customHeight="1" x14ac:dyDescent="0.25">
      <c r="I537" s="75"/>
      <c r="L537" s="55"/>
    </row>
    <row r="538" spans="9:12" ht="15.75" customHeight="1" x14ac:dyDescent="0.25">
      <c r="I538" s="75"/>
      <c r="L538" s="55"/>
    </row>
    <row r="539" spans="9:12" ht="15.75" customHeight="1" x14ac:dyDescent="0.25">
      <c r="I539" s="75"/>
      <c r="L539" s="55"/>
    </row>
    <row r="540" spans="9:12" ht="15.75" customHeight="1" x14ac:dyDescent="0.25">
      <c r="I540" s="75"/>
      <c r="L540" s="55"/>
    </row>
    <row r="541" spans="9:12" ht="15.75" customHeight="1" x14ac:dyDescent="0.25">
      <c r="I541" s="75"/>
      <c r="L541" s="55"/>
    </row>
    <row r="542" spans="9:12" ht="15.75" customHeight="1" x14ac:dyDescent="0.25">
      <c r="I542" s="75"/>
      <c r="L542" s="55"/>
    </row>
    <row r="543" spans="9:12" ht="15.75" customHeight="1" x14ac:dyDescent="0.25">
      <c r="I543" s="75"/>
      <c r="L543" s="55"/>
    </row>
    <row r="544" spans="9:12" ht="15.75" customHeight="1" x14ac:dyDescent="0.25">
      <c r="I544" s="75"/>
      <c r="L544" s="55"/>
    </row>
    <row r="545" spans="9:12" ht="15.75" customHeight="1" x14ac:dyDescent="0.25">
      <c r="I545" s="75"/>
      <c r="L545" s="55"/>
    </row>
    <row r="546" spans="9:12" ht="15.75" customHeight="1" x14ac:dyDescent="0.25">
      <c r="I546" s="75"/>
      <c r="L546" s="55"/>
    </row>
    <row r="547" spans="9:12" ht="15.75" customHeight="1" x14ac:dyDescent="0.25">
      <c r="I547" s="75"/>
      <c r="L547" s="55"/>
    </row>
    <row r="548" spans="9:12" ht="15.75" customHeight="1" x14ac:dyDescent="0.25">
      <c r="I548" s="75"/>
      <c r="L548" s="55"/>
    </row>
    <row r="549" spans="9:12" ht="15.75" customHeight="1" x14ac:dyDescent="0.25">
      <c r="I549" s="75"/>
      <c r="L549" s="55"/>
    </row>
    <row r="550" spans="9:12" ht="15.75" customHeight="1" x14ac:dyDescent="0.25">
      <c r="I550" s="75"/>
      <c r="L550" s="55"/>
    </row>
    <row r="551" spans="9:12" ht="15.75" customHeight="1" x14ac:dyDescent="0.25">
      <c r="I551" s="75"/>
      <c r="L551" s="55"/>
    </row>
    <row r="552" spans="9:12" ht="15.75" customHeight="1" x14ac:dyDescent="0.25">
      <c r="I552" s="75"/>
      <c r="L552" s="55"/>
    </row>
    <row r="553" spans="9:12" ht="15.75" customHeight="1" x14ac:dyDescent="0.25">
      <c r="I553" s="75"/>
      <c r="L553" s="55"/>
    </row>
    <row r="554" spans="9:12" ht="15.75" customHeight="1" x14ac:dyDescent="0.25">
      <c r="I554" s="75"/>
      <c r="L554" s="55"/>
    </row>
    <row r="555" spans="9:12" ht="15.75" customHeight="1" x14ac:dyDescent="0.25">
      <c r="I555" s="75"/>
      <c r="L555" s="55"/>
    </row>
    <row r="556" spans="9:12" ht="15.75" customHeight="1" x14ac:dyDescent="0.25">
      <c r="I556" s="75"/>
      <c r="L556" s="55"/>
    </row>
    <row r="557" spans="9:12" ht="15.75" customHeight="1" x14ac:dyDescent="0.25">
      <c r="I557" s="75"/>
      <c r="L557" s="55"/>
    </row>
    <row r="558" spans="9:12" ht="15.75" customHeight="1" x14ac:dyDescent="0.25">
      <c r="I558" s="75"/>
      <c r="L558" s="55"/>
    </row>
    <row r="559" spans="9:12" ht="15.75" customHeight="1" x14ac:dyDescent="0.25">
      <c r="I559" s="75"/>
      <c r="L559" s="55"/>
    </row>
    <row r="560" spans="9:12" ht="15.75" customHeight="1" x14ac:dyDescent="0.25">
      <c r="I560" s="75"/>
      <c r="L560" s="55"/>
    </row>
    <row r="561" spans="9:12" ht="15.75" customHeight="1" x14ac:dyDescent="0.25">
      <c r="I561" s="75"/>
      <c r="L561" s="55"/>
    </row>
    <row r="562" spans="9:12" ht="15.75" customHeight="1" x14ac:dyDescent="0.25">
      <c r="I562" s="75"/>
      <c r="L562" s="55"/>
    </row>
    <row r="563" spans="9:12" ht="15.75" customHeight="1" x14ac:dyDescent="0.25">
      <c r="I563" s="75"/>
      <c r="L563" s="55"/>
    </row>
    <row r="564" spans="9:12" ht="15.75" customHeight="1" x14ac:dyDescent="0.25">
      <c r="I564" s="75"/>
      <c r="L564" s="55"/>
    </row>
    <row r="565" spans="9:12" ht="15.75" customHeight="1" x14ac:dyDescent="0.25">
      <c r="I565" s="75"/>
      <c r="L565" s="55"/>
    </row>
    <row r="566" spans="9:12" ht="15.75" customHeight="1" x14ac:dyDescent="0.25">
      <c r="I566" s="75"/>
      <c r="L566" s="55"/>
    </row>
    <row r="567" spans="9:12" ht="15.75" customHeight="1" x14ac:dyDescent="0.25">
      <c r="I567" s="75"/>
      <c r="L567" s="55"/>
    </row>
    <row r="568" spans="9:12" ht="15.75" customHeight="1" x14ac:dyDescent="0.25">
      <c r="I568" s="75"/>
      <c r="L568" s="55"/>
    </row>
    <row r="569" spans="9:12" ht="15.75" customHeight="1" x14ac:dyDescent="0.25">
      <c r="I569" s="75"/>
      <c r="L569" s="55"/>
    </row>
    <row r="570" spans="9:12" ht="15.75" customHeight="1" x14ac:dyDescent="0.25">
      <c r="I570" s="75"/>
      <c r="L570" s="55"/>
    </row>
    <row r="571" spans="9:12" ht="15.75" customHeight="1" x14ac:dyDescent="0.25">
      <c r="I571" s="75"/>
      <c r="L571" s="55"/>
    </row>
    <row r="572" spans="9:12" ht="15.75" customHeight="1" x14ac:dyDescent="0.25">
      <c r="I572" s="75"/>
      <c r="L572" s="55"/>
    </row>
    <row r="573" spans="9:12" ht="15.75" customHeight="1" x14ac:dyDescent="0.25">
      <c r="I573" s="75"/>
      <c r="L573" s="55"/>
    </row>
    <row r="574" spans="9:12" ht="15.75" customHeight="1" x14ac:dyDescent="0.25">
      <c r="I574" s="75"/>
      <c r="L574" s="55"/>
    </row>
    <row r="575" spans="9:12" ht="15.75" customHeight="1" x14ac:dyDescent="0.25">
      <c r="I575" s="75"/>
      <c r="L575" s="55"/>
    </row>
    <row r="576" spans="9:12" ht="15.75" customHeight="1" x14ac:dyDescent="0.25">
      <c r="I576" s="75"/>
      <c r="L576" s="55"/>
    </row>
    <row r="577" spans="9:12" ht="15.75" customHeight="1" x14ac:dyDescent="0.25">
      <c r="I577" s="75"/>
      <c r="L577" s="55"/>
    </row>
    <row r="578" spans="9:12" ht="15.75" customHeight="1" x14ac:dyDescent="0.25">
      <c r="I578" s="75"/>
      <c r="L578" s="55"/>
    </row>
    <row r="579" spans="9:12" ht="15.75" customHeight="1" x14ac:dyDescent="0.25">
      <c r="I579" s="75"/>
      <c r="L579" s="55"/>
    </row>
    <row r="580" spans="9:12" ht="15.75" customHeight="1" x14ac:dyDescent="0.25">
      <c r="I580" s="75"/>
      <c r="L580" s="55"/>
    </row>
    <row r="581" spans="9:12" ht="15.75" customHeight="1" x14ac:dyDescent="0.25">
      <c r="I581" s="75"/>
      <c r="L581" s="55"/>
    </row>
    <row r="582" spans="9:12" ht="15.75" customHeight="1" x14ac:dyDescent="0.25">
      <c r="I582" s="75"/>
      <c r="L582" s="55"/>
    </row>
    <row r="583" spans="9:12" ht="15.75" customHeight="1" x14ac:dyDescent="0.25">
      <c r="I583" s="75"/>
      <c r="L583" s="55"/>
    </row>
    <row r="584" spans="9:12" ht="15.75" customHeight="1" x14ac:dyDescent="0.25">
      <c r="I584" s="75"/>
      <c r="L584" s="55"/>
    </row>
    <row r="585" spans="9:12" ht="15.75" customHeight="1" x14ac:dyDescent="0.25">
      <c r="I585" s="75"/>
      <c r="L585" s="55"/>
    </row>
    <row r="586" spans="9:12" ht="15.75" customHeight="1" x14ac:dyDescent="0.25">
      <c r="I586" s="75"/>
      <c r="L586" s="55"/>
    </row>
    <row r="587" spans="9:12" ht="15.75" customHeight="1" x14ac:dyDescent="0.25">
      <c r="I587" s="75"/>
      <c r="L587" s="55"/>
    </row>
    <row r="588" spans="9:12" ht="15.75" customHeight="1" x14ac:dyDescent="0.25">
      <c r="I588" s="75"/>
      <c r="L588" s="55"/>
    </row>
    <row r="589" spans="9:12" ht="15.75" customHeight="1" x14ac:dyDescent="0.25">
      <c r="I589" s="75"/>
      <c r="L589" s="55"/>
    </row>
    <row r="590" spans="9:12" ht="15.75" customHeight="1" x14ac:dyDescent="0.25">
      <c r="I590" s="75"/>
      <c r="L590" s="55"/>
    </row>
    <row r="591" spans="9:12" ht="15.75" customHeight="1" x14ac:dyDescent="0.25">
      <c r="I591" s="75"/>
      <c r="L591" s="55"/>
    </row>
    <row r="592" spans="9:12" ht="15.75" customHeight="1" x14ac:dyDescent="0.25">
      <c r="I592" s="75"/>
      <c r="L592" s="55"/>
    </row>
    <row r="593" spans="9:12" ht="15.75" customHeight="1" x14ac:dyDescent="0.25">
      <c r="I593" s="75"/>
      <c r="L593" s="55"/>
    </row>
    <row r="594" spans="9:12" ht="15.75" customHeight="1" x14ac:dyDescent="0.25">
      <c r="I594" s="75"/>
      <c r="L594" s="55"/>
    </row>
    <row r="595" spans="9:12" ht="15.75" customHeight="1" x14ac:dyDescent="0.25">
      <c r="I595" s="75"/>
      <c r="L595" s="55"/>
    </row>
    <row r="596" spans="9:12" ht="15.75" customHeight="1" x14ac:dyDescent="0.25">
      <c r="I596" s="75"/>
      <c r="L596" s="55"/>
    </row>
    <row r="597" spans="9:12" ht="15.75" customHeight="1" x14ac:dyDescent="0.25">
      <c r="I597" s="75"/>
      <c r="L597" s="55"/>
    </row>
    <row r="598" spans="9:12" ht="15.75" customHeight="1" x14ac:dyDescent="0.25">
      <c r="I598" s="75"/>
      <c r="L598" s="55"/>
    </row>
    <row r="599" spans="9:12" ht="15.75" customHeight="1" x14ac:dyDescent="0.25">
      <c r="I599" s="75"/>
      <c r="L599" s="55"/>
    </row>
    <row r="600" spans="9:12" ht="15.75" customHeight="1" x14ac:dyDescent="0.25">
      <c r="I600" s="75"/>
      <c r="L600" s="55"/>
    </row>
    <row r="601" spans="9:12" ht="15.75" customHeight="1" x14ac:dyDescent="0.25">
      <c r="I601" s="75"/>
      <c r="L601" s="55"/>
    </row>
    <row r="602" spans="9:12" ht="15.75" customHeight="1" x14ac:dyDescent="0.25">
      <c r="I602" s="75"/>
      <c r="L602" s="55"/>
    </row>
    <row r="603" spans="9:12" ht="15.75" customHeight="1" x14ac:dyDescent="0.25">
      <c r="I603" s="75"/>
      <c r="L603" s="55"/>
    </row>
    <row r="604" spans="9:12" ht="15.75" customHeight="1" x14ac:dyDescent="0.25">
      <c r="I604" s="75"/>
      <c r="L604" s="55"/>
    </row>
    <row r="605" spans="9:12" ht="15.75" customHeight="1" x14ac:dyDescent="0.25">
      <c r="I605" s="75"/>
      <c r="L605" s="55"/>
    </row>
    <row r="606" spans="9:12" ht="15.75" customHeight="1" x14ac:dyDescent="0.25">
      <c r="I606" s="75"/>
      <c r="L606" s="55"/>
    </row>
    <row r="607" spans="9:12" ht="15.75" customHeight="1" x14ac:dyDescent="0.25">
      <c r="I607" s="75"/>
      <c r="L607" s="55"/>
    </row>
    <row r="608" spans="9:12" ht="15.75" customHeight="1" x14ac:dyDescent="0.25">
      <c r="I608" s="75"/>
      <c r="L608" s="55"/>
    </row>
    <row r="609" spans="9:12" ht="15.75" customHeight="1" x14ac:dyDescent="0.25">
      <c r="I609" s="75"/>
      <c r="L609" s="55"/>
    </row>
    <row r="610" spans="9:12" ht="15.75" customHeight="1" x14ac:dyDescent="0.25">
      <c r="I610" s="75"/>
      <c r="L610" s="55"/>
    </row>
    <row r="611" spans="9:12" ht="15.75" customHeight="1" x14ac:dyDescent="0.25">
      <c r="I611" s="75"/>
      <c r="L611" s="55"/>
    </row>
    <row r="612" spans="9:12" ht="15.75" customHeight="1" x14ac:dyDescent="0.25">
      <c r="I612" s="75"/>
      <c r="L612" s="55"/>
    </row>
    <row r="613" spans="9:12" ht="15.75" customHeight="1" x14ac:dyDescent="0.25">
      <c r="I613" s="75"/>
      <c r="L613" s="55"/>
    </row>
    <row r="614" spans="9:12" ht="15.75" customHeight="1" x14ac:dyDescent="0.25">
      <c r="I614" s="75"/>
      <c r="L614" s="55"/>
    </row>
    <row r="615" spans="9:12" ht="15.75" customHeight="1" x14ac:dyDescent="0.25">
      <c r="I615" s="75"/>
      <c r="L615" s="55"/>
    </row>
    <row r="616" spans="9:12" ht="15.75" customHeight="1" x14ac:dyDescent="0.25">
      <c r="I616" s="75"/>
      <c r="L616" s="55"/>
    </row>
    <row r="617" spans="9:12" ht="15.75" customHeight="1" x14ac:dyDescent="0.25">
      <c r="I617" s="75"/>
      <c r="L617" s="55"/>
    </row>
    <row r="618" spans="9:12" ht="15.75" customHeight="1" x14ac:dyDescent="0.25">
      <c r="I618" s="75"/>
      <c r="L618" s="55"/>
    </row>
    <row r="619" spans="9:12" ht="15.75" customHeight="1" x14ac:dyDescent="0.25">
      <c r="I619" s="75"/>
      <c r="L619" s="55"/>
    </row>
    <row r="620" spans="9:12" ht="15.75" customHeight="1" x14ac:dyDescent="0.25">
      <c r="I620" s="75"/>
      <c r="L620" s="55"/>
    </row>
    <row r="621" spans="9:12" ht="15.75" customHeight="1" x14ac:dyDescent="0.25">
      <c r="I621" s="75"/>
      <c r="L621" s="55"/>
    </row>
    <row r="622" spans="9:12" ht="15.75" customHeight="1" x14ac:dyDescent="0.25">
      <c r="I622" s="75"/>
      <c r="L622" s="55"/>
    </row>
    <row r="623" spans="9:12" ht="15.75" customHeight="1" x14ac:dyDescent="0.25">
      <c r="I623" s="75"/>
      <c r="L623" s="55"/>
    </row>
    <row r="624" spans="9:12" ht="15.75" customHeight="1" x14ac:dyDescent="0.25">
      <c r="I624" s="75"/>
      <c r="L624" s="55"/>
    </row>
    <row r="625" spans="9:12" ht="15.75" customHeight="1" x14ac:dyDescent="0.25">
      <c r="I625" s="75"/>
      <c r="L625" s="55"/>
    </row>
    <row r="626" spans="9:12" ht="15.75" customHeight="1" x14ac:dyDescent="0.25">
      <c r="I626" s="75"/>
      <c r="L626" s="55"/>
    </row>
    <row r="627" spans="9:12" ht="15.75" customHeight="1" x14ac:dyDescent="0.25">
      <c r="I627" s="75"/>
      <c r="L627" s="55"/>
    </row>
    <row r="628" spans="9:12" ht="15.75" customHeight="1" x14ac:dyDescent="0.25">
      <c r="I628" s="75"/>
      <c r="L628" s="55"/>
    </row>
    <row r="629" spans="9:12" ht="15.75" customHeight="1" x14ac:dyDescent="0.25">
      <c r="I629" s="75"/>
      <c r="L629" s="55"/>
    </row>
    <row r="630" spans="9:12" ht="15.75" customHeight="1" x14ac:dyDescent="0.25">
      <c r="I630" s="75"/>
      <c r="L630" s="55"/>
    </row>
    <row r="631" spans="9:12" ht="15.75" customHeight="1" x14ac:dyDescent="0.25">
      <c r="I631" s="75"/>
      <c r="L631" s="55"/>
    </row>
    <row r="632" spans="9:12" ht="15.75" customHeight="1" x14ac:dyDescent="0.25">
      <c r="I632" s="75"/>
      <c r="L632" s="55"/>
    </row>
    <row r="633" spans="9:12" ht="15.75" customHeight="1" x14ac:dyDescent="0.25">
      <c r="I633" s="75"/>
      <c r="L633" s="55"/>
    </row>
    <row r="634" spans="9:12" ht="15.75" customHeight="1" x14ac:dyDescent="0.25">
      <c r="I634" s="75"/>
      <c r="L634" s="55"/>
    </row>
    <row r="635" spans="9:12" ht="15.75" customHeight="1" x14ac:dyDescent="0.25">
      <c r="I635" s="75"/>
      <c r="L635" s="55"/>
    </row>
    <row r="636" spans="9:12" ht="15.75" customHeight="1" x14ac:dyDescent="0.25">
      <c r="I636" s="75"/>
      <c r="L636" s="55"/>
    </row>
    <row r="637" spans="9:12" ht="15.75" customHeight="1" x14ac:dyDescent="0.25">
      <c r="I637" s="75"/>
      <c r="L637" s="55"/>
    </row>
    <row r="638" spans="9:12" ht="15.75" customHeight="1" x14ac:dyDescent="0.25">
      <c r="I638" s="75"/>
      <c r="L638" s="55"/>
    </row>
    <row r="639" spans="9:12" ht="15.75" customHeight="1" x14ac:dyDescent="0.25">
      <c r="I639" s="75"/>
      <c r="L639" s="55"/>
    </row>
    <row r="640" spans="9:12" ht="15.75" customHeight="1" x14ac:dyDescent="0.25">
      <c r="I640" s="75"/>
      <c r="L640" s="55"/>
    </row>
    <row r="641" spans="9:12" ht="15.75" customHeight="1" x14ac:dyDescent="0.25">
      <c r="I641" s="75"/>
      <c r="L641" s="55"/>
    </row>
    <row r="642" spans="9:12" ht="15.75" customHeight="1" x14ac:dyDescent="0.25">
      <c r="I642" s="75"/>
      <c r="L642" s="55"/>
    </row>
    <row r="643" spans="9:12" ht="15.75" customHeight="1" x14ac:dyDescent="0.25">
      <c r="I643" s="75"/>
      <c r="L643" s="55"/>
    </row>
    <row r="644" spans="9:12" ht="15.75" customHeight="1" x14ac:dyDescent="0.25">
      <c r="I644" s="75"/>
      <c r="L644" s="55"/>
    </row>
    <row r="645" spans="9:12" ht="15.75" customHeight="1" x14ac:dyDescent="0.25">
      <c r="I645" s="75"/>
      <c r="L645" s="55"/>
    </row>
    <row r="646" spans="9:12" ht="15.75" customHeight="1" x14ac:dyDescent="0.25">
      <c r="I646" s="75"/>
      <c r="L646" s="55"/>
    </row>
    <row r="647" spans="9:12" ht="15.75" customHeight="1" x14ac:dyDescent="0.25">
      <c r="I647" s="75"/>
      <c r="L647" s="55"/>
    </row>
    <row r="648" spans="9:12" ht="15.75" customHeight="1" x14ac:dyDescent="0.25">
      <c r="I648" s="75"/>
      <c r="L648" s="55"/>
    </row>
    <row r="649" spans="9:12" ht="15.75" customHeight="1" x14ac:dyDescent="0.25">
      <c r="I649" s="75"/>
      <c r="L649" s="55"/>
    </row>
    <row r="650" spans="9:12" ht="15.75" customHeight="1" x14ac:dyDescent="0.25">
      <c r="I650" s="75"/>
      <c r="L650" s="55"/>
    </row>
    <row r="651" spans="9:12" ht="15.75" customHeight="1" x14ac:dyDescent="0.25">
      <c r="I651" s="75"/>
      <c r="L651" s="55"/>
    </row>
    <row r="652" spans="9:12" ht="15.75" customHeight="1" x14ac:dyDescent="0.25">
      <c r="I652" s="75"/>
      <c r="L652" s="55"/>
    </row>
    <row r="653" spans="9:12" ht="15.75" customHeight="1" x14ac:dyDescent="0.25">
      <c r="I653" s="75"/>
      <c r="L653" s="55"/>
    </row>
    <row r="654" spans="9:12" ht="15.75" customHeight="1" x14ac:dyDescent="0.25">
      <c r="I654" s="75"/>
      <c r="L654" s="55"/>
    </row>
    <row r="655" spans="9:12" ht="15.75" customHeight="1" x14ac:dyDescent="0.25">
      <c r="I655" s="75"/>
      <c r="L655" s="55"/>
    </row>
    <row r="656" spans="9:12" ht="15.75" customHeight="1" x14ac:dyDescent="0.25">
      <c r="I656" s="75"/>
      <c r="L656" s="55"/>
    </row>
    <row r="657" spans="9:12" ht="15.75" customHeight="1" x14ac:dyDescent="0.25">
      <c r="I657" s="75"/>
      <c r="L657" s="55"/>
    </row>
    <row r="658" spans="9:12" ht="15.75" customHeight="1" x14ac:dyDescent="0.25">
      <c r="I658" s="75"/>
      <c r="L658" s="55"/>
    </row>
    <row r="659" spans="9:12" ht="15.75" customHeight="1" x14ac:dyDescent="0.25">
      <c r="I659" s="75"/>
      <c r="L659" s="55"/>
    </row>
    <row r="660" spans="9:12" ht="15.75" customHeight="1" x14ac:dyDescent="0.25">
      <c r="I660" s="75"/>
      <c r="L660" s="55"/>
    </row>
    <row r="661" spans="9:12" ht="15.75" customHeight="1" x14ac:dyDescent="0.25">
      <c r="I661" s="75"/>
      <c r="L661" s="55"/>
    </row>
    <row r="662" spans="9:12" ht="15.75" customHeight="1" x14ac:dyDescent="0.25">
      <c r="I662" s="75"/>
      <c r="L662" s="55"/>
    </row>
    <row r="663" spans="9:12" ht="15.75" customHeight="1" x14ac:dyDescent="0.25">
      <c r="I663" s="75"/>
      <c r="L663" s="55"/>
    </row>
    <row r="664" spans="9:12" ht="15.75" customHeight="1" x14ac:dyDescent="0.25">
      <c r="I664" s="75"/>
      <c r="L664" s="55"/>
    </row>
    <row r="665" spans="9:12" ht="15.75" customHeight="1" x14ac:dyDescent="0.25">
      <c r="I665" s="75"/>
      <c r="L665" s="55"/>
    </row>
    <row r="666" spans="9:12" ht="15.75" customHeight="1" x14ac:dyDescent="0.25">
      <c r="I666" s="75"/>
      <c r="L666" s="55"/>
    </row>
    <row r="667" spans="9:12" ht="15.75" customHeight="1" x14ac:dyDescent="0.25">
      <c r="I667" s="75"/>
      <c r="L667" s="55"/>
    </row>
    <row r="668" spans="9:12" ht="15.75" customHeight="1" x14ac:dyDescent="0.25">
      <c r="I668" s="75"/>
      <c r="L668" s="55"/>
    </row>
    <row r="669" spans="9:12" ht="15.75" customHeight="1" x14ac:dyDescent="0.25">
      <c r="I669" s="75"/>
      <c r="L669" s="55"/>
    </row>
    <row r="670" spans="9:12" ht="15.75" customHeight="1" x14ac:dyDescent="0.25">
      <c r="I670" s="75"/>
      <c r="L670" s="55"/>
    </row>
    <row r="671" spans="9:12" ht="15.75" customHeight="1" x14ac:dyDescent="0.25">
      <c r="I671" s="75"/>
      <c r="L671" s="55"/>
    </row>
    <row r="672" spans="9:12" ht="15.75" customHeight="1" x14ac:dyDescent="0.25">
      <c r="I672" s="75"/>
      <c r="L672" s="55"/>
    </row>
    <row r="673" spans="9:12" ht="15.75" customHeight="1" x14ac:dyDescent="0.25">
      <c r="I673" s="75"/>
      <c r="L673" s="55"/>
    </row>
    <row r="674" spans="9:12" ht="15.75" customHeight="1" x14ac:dyDescent="0.25">
      <c r="I674" s="75"/>
      <c r="L674" s="55"/>
    </row>
    <row r="675" spans="9:12" ht="15.75" customHeight="1" x14ac:dyDescent="0.25">
      <c r="I675" s="75"/>
      <c r="L675" s="55"/>
    </row>
    <row r="676" spans="9:12" ht="15.75" customHeight="1" x14ac:dyDescent="0.25">
      <c r="I676" s="75"/>
      <c r="L676" s="55"/>
    </row>
    <row r="677" spans="9:12" ht="15.75" customHeight="1" x14ac:dyDescent="0.25">
      <c r="I677" s="75"/>
      <c r="L677" s="55"/>
    </row>
    <row r="678" spans="9:12" ht="15.75" customHeight="1" x14ac:dyDescent="0.25">
      <c r="I678" s="75"/>
      <c r="L678" s="55"/>
    </row>
    <row r="679" spans="9:12" ht="15.75" customHeight="1" x14ac:dyDescent="0.25">
      <c r="I679" s="75"/>
      <c r="L679" s="55"/>
    </row>
    <row r="680" spans="9:12" ht="15.75" customHeight="1" x14ac:dyDescent="0.25">
      <c r="I680" s="75"/>
      <c r="L680" s="55"/>
    </row>
    <row r="681" spans="9:12" ht="15.75" customHeight="1" x14ac:dyDescent="0.25">
      <c r="I681" s="75"/>
      <c r="L681" s="55"/>
    </row>
    <row r="682" spans="9:12" ht="15.75" customHeight="1" x14ac:dyDescent="0.25">
      <c r="I682" s="75"/>
      <c r="L682" s="55"/>
    </row>
    <row r="683" spans="9:12" ht="15.75" customHeight="1" x14ac:dyDescent="0.25">
      <c r="I683" s="75"/>
      <c r="L683" s="55"/>
    </row>
    <row r="684" spans="9:12" ht="15.75" customHeight="1" x14ac:dyDescent="0.25">
      <c r="I684" s="75"/>
      <c r="L684" s="55"/>
    </row>
    <row r="685" spans="9:12" ht="15.75" customHeight="1" x14ac:dyDescent="0.25">
      <c r="I685" s="75"/>
      <c r="L685" s="55"/>
    </row>
    <row r="686" spans="9:12" ht="15.75" customHeight="1" x14ac:dyDescent="0.25">
      <c r="I686" s="75"/>
      <c r="L686" s="55"/>
    </row>
    <row r="687" spans="9:12" ht="15.75" customHeight="1" x14ac:dyDescent="0.25">
      <c r="I687" s="75"/>
      <c r="L687" s="55"/>
    </row>
    <row r="688" spans="9:12" ht="15.75" customHeight="1" x14ac:dyDescent="0.25">
      <c r="I688" s="75"/>
      <c r="L688" s="55"/>
    </row>
    <row r="689" spans="9:12" ht="15.75" customHeight="1" x14ac:dyDescent="0.25">
      <c r="I689" s="75"/>
      <c r="L689" s="55"/>
    </row>
    <row r="690" spans="9:12" ht="15.75" customHeight="1" x14ac:dyDescent="0.25">
      <c r="I690" s="75"/>
      <c r="L690" s="55"/>
    </row>
    <row r="691" spans="9:12" ht="15.75" customHeight="1" x14ac:dyDescent="0.25">
      <c r="I691" s="75"/>
      <c r="L691" s="55"/>
    </row>
    <row r="692" spans="9:12" ht="15.75" customHeight="1" x14ac:dyDescent="0.25">
      <c r="I692" s="75"/>
      <c r="L692" s="55"/>
    </row>
    <row r="693" spans="9:12" ht="15.75" customHeight="1" x14ac:dyDescent="0.25">
      <c r="I693" s="75"/>
      <c r="L693" s="55"/>
    </row>
    <row r="694" spans="9:12" ht="15.75" customHeight="1" x14ac:dyDescent="0.25">
      <c r="I694" s="75"/>
      <c r="L694" s="55"/>
    </row>
    <row r="695" spans="9:12" ht="15.75" customHeight="1" x14ac:dyDescent="0.25">
      <c r="I695" s="75"/>
      <c r="L695" s="55"/>
    </row>
    <row r="696" spans="9:12" ht="15.75" customHeight="1" x14ac:dyDescent="0.25">
      <c r="I696" s="75"/>
      <c r="L696" s="55"/>
    </row>
    <row r="697" spans="9:12" ht="15.75" customHeight="1" x14ac:dyDescent="0.25">
      <c r="I697" s="75"/>
      <c r="L697" s="55"/>
    </row>
    <row r="698" spans="9:12" ht="15.75" customHeight="1" x14ac:dyDescent="0.25">
      <c r="I698" s="75"/>
      <c r="L698" s="55"/>
    </row>
    <row r="699" spans="9:12" ht="15.75" customHeight="1" x14ac:dyDescent="0.25">
      <c r="I699" s="75"/>
      <c r="L699" s="55"/>
    </row>
    <row r="700" spans="9:12" ht="15.75" customHeight="1" x14ac:dyDescent="0.25">
      <c r="I700" s="75"/>
      <c r="L700" s="55"/>
    </row>
    <row r="701" spans="9:12" ht="15.75" customHeight="1" x14ac:dyDescent="0.25">
      <c r="I701" s="75"/>
      <c r="L701" s="55"/>
    </row>
    <row r="702" spans="9:12" ht="15.75" customHeight="1" x14ac:dyDescent="0.25">
      <c r="I702" s="75"/>
      <c r="L702" s="55"/>
    </row>
    <row r="703" spans="9:12" ht="15.75" customHeight="1" x14ac:dyDescent="0.25">
      <c r="I703" s="75"/>
      <c r="L703" s="55"/>
    </row>
    <row r="704" spans="9:12" ht="15.75" customHeight="1" x14ac:dyDescent="0.25">
      <c r="I704" s="75"/>
      <c r="L704" s="55"/>
    </row>
    <row r="705" spans="9:12" ht="15.75" customHeight="1" x14ac:dyDescent="0.25">
      <c r="I705" s="75"/>
      <c r="L705" s="55"/>
    </row>
    <row r="706" spans="9:12" ht="15.75" customHeight="1" x14ac:dyDescent="0.25">
      <c r="I706" s="75"/>
      <c r="L706" s="55"/>
    </row>
    <row r="707" spans="9:12" ht="15.75" customHeight="1" x14ac:dyDescent="0.25">
      <c r="I707" s="75"/>
      <c r="L707" s="55"/>
    </row>
    <row r="708" spans="9:12" ht="15.75" customHeight="1" x14ac:dyDescent="0.25">
      <c r="I708" s="75"/>
      <c r="L708" s="55"/>
    </row>
    <row r="709" spans="9:12" ht="15.75" customHeight="1" x14ac:dyDescent="0.25">
      <c r="I709" s="75"/>
      <c r="L709" s="55"/>
    </row>
    <row r="710" spans="9:12" ht="15.75" customHeight="1" x14ac:dyDescent="0.25">
      <c r="I710" s="75"/>
      <c r="L710" s="55"/>
    </row>
    <row r="711" spans="9:12" ht="15.75" customHeight="1" x14ac:dyDescent="0.25">
      <c r="I711" s="75"/>
      <c r="L711" s="55"/>
    </row>
    <row r="712" spans="9:12" ht="15.75" customHeight="1" x14ac:dyDescent="0.25">
      <c r="I712" s="75"/>
      <c r="L712" s="55"/>
    </row>
    <row r="713" spans="9:12" ht="15.75" customHeight="1" x14ac:dyDescent="0.25">
      <c r="I713" s="75"/>
      <c r="L713" s="55"/>
    </row>
    <row r="714" spans="9:12" ht="15.75" customHeight="1" x14ac:dyDescent="0.25">
      <c r="I714" s="75"/>
      <c r="L714" s="55"/>
    </row>
    <row r="715" spans="9:12" ht="15.75" customHeight="1" x14ac:dyDescent="0.25">
      <c r="I715" s="75"/>
      <c r="L715" s="55"/>
    </row>
    <row r="716" spans="9:12" ht="15.75" customHeight="1" x14ac:dyDescent="0.25">
      <c r="I716" s="75"/>
      <c r="L716" s="55"/>
    </row>
    <row r="717" spans="9:12" ht="15.75" customHeight="1" x14ac:dyDescent="0.25">
      <c r="I717" s="75"/>
      <c r="L717" s="55"/>
    </row>
    <row r="718" spans="9:12" ht="15.75" customHeight="1" x14ac:dyDescent="0.25">
      <c r="I718" s="75"/>
      <c r="L718" s="55"/>
    </row>
    <row r="719" spans="9:12" ht="15.75" customHeight="1" x14ac:dyDescent="0.25">
      <c r="I719" s="75"/>
      <c r="L719" s="55"/>
    </row>
    <row r="720" spans="9:12" ht="15.75" customHeight="1" x14ac:dyDescent="0.25">
      <c r="I720" s="75"/>
      <c r="L720" s="55"/>
    </row>
    <row r="721" spans="9:12" ht="15.75" customHeight="1" x14ac:dyDescent="0.25">
      <c r="I721" s="75"/>
      <c r="L721" s="55"/>
    </row>
    <row r="722" spans="9:12" ht="15.75" customHeight="1" x14ac:dyDescent="0.25">
      <c r="I722" s="75"/>
      <c r="L722" s="55"/>
    </row>
    <row r="723" spans="9:12" ht="15.75" customHeight="1" x14ac:dyDescent="0.25">
      <c r="I723" s="75"/>
      <c r="L723" s="55"/>
    </row>
    <row r="724" spans="9:12" ht="15.75" customHeight="1" x14ac:dyDescent="0.25">
      <c r="I724" s="75"/>
      <c r="L724" s="55"/>
    </row>
    <row r="725" spans="9:12" ht="15.75" customHeight="1" x14ac:dyDescent="0.25">
      <c r="I725" s="75"/>
      <c r="L725" s="55"/>
    </row>
    <row r="726" spans="9:12" ht="15.75" customHeight="1" x14ac:dyDescent="0.25">
      <c r="I726" s="75"/>
      <c r="L726" s="55"/>
    </row>
    <row r="727" spans="9:12" ht="15.75" customHeight="1" x14ac:dyDescent="0.25">
      <c r="I727" s="75"/>
      <c r="L727" s="55"/>
    </row>
    <row r="728" spans="9:12" ht="15.75" customHeight="1" x14ac:dyDescent="0.25">
      <c r="I728" s="75"/>
      <c r="L728" s="55"/>
    </row>
    <row r="729" spans="9:12" ht="15.75" customHeight="1" x14ac:dyDescent="0.25">
      <c r="I729" s="75"/>
      <c r="L729" s="55"/>
    </row>
    <row r="730" spans="9:12" ht="15.75" customHeight="1" x14ac:dyDescent="0.25">
      <c r="I730" s="75"/>
      <c r="L730" s="55"/>
    </row>
    <row r="731" spans="9:12" ht="15.75" customHeight="1" x14ac:dyDescent="0.25">
      <c r="I731" s="75"/>
      <c r="L731" s="55"/>
    </row>
    <row r="732" spans="9:12" ht="15.75" customHeight="1" x14ac:dyDescent="0.25">
      <c r="I732" s="75"/>
      <c r="L732" s="55"/>
    </row>
    <row r="733" spans="9:12" ht="15.75" customHeight="1" x14ac:dyDescent="0.25">
      <c r="I733" s="75"/>
      <c r="L733" s="55"/>
    </row>
    <row r="734" spans="9:12" ht="15.75" customHeight="1" x14ac:dyDescent="0.25">
      <c r="I734" s="75"/>
      <c r="L734" s="55"/>
    </row>
    <row r="735" spans="9:12" ht="15.75" customHeight="1" x14ac:dyDescent="0.25">
      <c r="I735" s="75"/>
      <c r="L735" s="55"/>
    </row>
    <row r="736" spans="9:12" ht="15.75" customHeight="1" x14ac:dyDescent="0.25">
      <c r="I736" s="75"/>
      <c r="L736" s="55"/>
    </row>
    <row r="737" spans="9:12" ht="15.75" customHeight="1" x14ac:dyDescent="0.25">
      <c r="I737" s="75"/>
      <c r="L737" s="55"/>
    </row>
    <row r="738" spans="9:12" ht="15.75" customHeight="1" x14ac:dyDescent="0.25">
      <c r="I738" s="75"/>
      <c r="L738" s="55"/>
    </row>
    <row r="739" spans="9:12" ht="15.75" customHeight="1" x14ac:dyDescent="0.25">
      <c r="I739" s="75"/>
      <c r="L739" s="55"/>
    </row>
    <row r="740" spans="9:12" ht="15.75" customHeight="1" x14ac:dyDescent="0.25">
      <c r="I740" s="75"/>
      <c r="L740" s="55"/>
    </row>
    <row r="741" spans="9:12" ht="15.75" customHeight="1" x14ac:dyDescent="0.25">
      <c r="I741" s="75"/>
      <c r="L741" s="55"/>
    </row>
    <row r="742" spans="9:12" ht="15.75" customHeight="1" x14ac:dyDescent="0.25">
      <c r="I742" s="75"/>
      <c r="L742" s="55"/>
    </row>
    <row r="743" spans="9:12" ht="15.75" customHeight="1" x14ac:dyDescent="0.25">
      <c r="I743" s="75"/>
      <c r="L743" s="55"/>
    </row>
    <row r="744" spans="9:12" ht="15.75" customHeight="1" x14ac:dyDescent="0.25">
      <c r="I744" s="75"/>
      <c r="L744" s="55"/>
    </row>
    <row r="745" spans="9:12" ht="15.75" customHeight="1" x14ac:dyDescent="0.25">
      <c r="I745" s="75"/>
      <c r="L745" s="55"/>
    </row>
    <row r="746" spans="9:12" ht="15.75" customHeight="1" x14ac:dyDescent="0.25">
      <c r="I746" s="75"/>
      <c r="L746" s="55"/>
    </row>
    <row r="747" spans="9:12" ht="15.75" customHeight="1" x14ac:dyDescent="0.25">
      <c r="I747" s="75"/>
      <c r="L747" s="55"/>
    </row>
    <row r="748" spans="9:12" ht="15.75" customHeight="1" x14ac:dyDescent="0.25">
      <c r="I748" s="75"/>
      <c r="L748" s="55"/>
    </row>
    <row r="749" spans="9:12" ht="15.75" customHeight="1" x14ac:dyDescent="0.25">
      <c r="I749" s="75"/>
      <c r="L749" s="55"/>
    </row>
    <row r="750" spans="9:12" ht="15.75" customHeight="1" x14ac:dyDescent="0.25">
      <c r="I750" s="75"/>
      <c r="L750" s="55"/>
    </row>
    <row r="751" spans="9:12" ht="15.75" customHeight="1" x14ac:dyDescent="0.25">
      <c r="I751" s="75"/>
      <c r="L751" s="55"/>
    </row>
    <row r="752" spans="9:12" ht="15.75" customHeight="1" x14ac:dyDescent="0.25">
      <c r="I752" s="75"/>
      <c r="L752" s="55"/>
    </row>
    <row r="753" spans="9:12" ht="15.75" customHeight="1" x14ac:dyDescent="0.25">
      <c r="I753" s="75"/>
      <c r="L753" s="55"/>
    </row>
    <row r="754" spans="9:12" ht="15.75" customHeight="1" x14ac:dyDescent="0.25">
      <c r="I754" s="75"/>
      <c r="L754" s="55"/>
    </row>
    <row r="755" spans="9:12" ht="15.75" customHeight="1" x14ac:dyDescent="0.25">
      <c r="I755" s="75"/>
      <c r="L755" s="55"/>
    </row>
    <row r="756" spans="9:12" ht="15.75" customHeight="1" x14ac:dyDescent="0.25">
      <c r="I756" s="75"/>
      <c r="L756" s="55"/>
    </row>
    <row r="757" spans="9:12" ht="15.75" customHeight="1" x14ac:dyDescent="0.25">
      <c r="I757" s="75"/>
      <c r="L757" s="55"/>
    </row>
    <row r="758" spans="9:12" ht="15.75" customHeight="1" x14ac:dyDescent="0.25">
      <c r="I758" s="75"/>
      <c r="L758" s="55"/>
    </row>
    <row r="759" spans="9:12" ht="15.75" customHeight="1" x14ac:dyDescent="0.25">
      <c r="I759" s="75"/>
      <c r="L759" s="55"/>
    </row>
    <row r="760" spans="9:12" ht="15.75" customHeight="1" x14ac:dyDescent="0.25">
      <c r="I760" s="75"/>
      <c r="L760" s="55"/>
    </row>
    <row r="761" spans="9:12" ht="15.75" customHeight="1" x14ac:dyDescent="0.25">
      <c r="I761" s="75"/>
      <c r="L761" s="55"/>
    </row>
    <row r="762" spans="9:12" ht="15.75" customHeight="1" x14ac:dyDescent="0.25">
      <c r="I762" s="75"/>
      <c r="L762" s="55"/>
    </row>
    <row r="763" spans="9:12" ht="15.75" customHeight="1" x14ac:dyDescent="0.25">
      <c r="I763" s="75"/>
      <c r="L763" s="55"/>
    </row>
    <row r="764" spans="9:12" ht="15.75" customHeight="1" x14ac:dyDescent="0.25">
      <c r="I764" s="75"/>
      <c r="L764" s="55"/>
    </row>
    <row r="765" spans="9:12" ht="15.75" customHeight="1" x14ac:dyDescent="0.25">
      <c r="I765" s="75"/>
      <c r="L765" s="55"/>
    </row>
    <row r="766" spans="9:12" ht="15.75" customHeight="1" x14ac:dyDescent="0.25">
      <c r="I766" s="75"/>
      <c r="L766" s="55"/>
    </row>
    <row r="767" spans="9:12" ht="15.75" customHeight="1" x14ac:dyDescent="0.25">
      <c r="I767" s="75"/>
      <c r="L767" s="55"/>
    </row>
    <row r="768" spans="9:12" ht="15.75" customHeight="1" x14ac:dyDescent="0.25">
      <c r="I768" s="75"/>
      <c r="L768" s="55"/>
    </row>
    <row r="769" spans="9:12" ht="15.75" customHeight="1" x14ac:dyDescent="0.25">
      <c r="I769" s="75"/>
      <c r="L769" s="55"/>
    </row>
    <row r="770" spans="9:12" ht="15.75" customHeight="1" x14ac:dyDescent="0.25">
      <c r="I770" s="75"/>
      <c r="L770" s="55"/>
    </row>
    <row r="771" spans="9:12" ht="15.75" customHeight="1" x14ac:dyDescent="0.25">
      <c r="I771" s="75"/>
      <c r="L771" s="55"/>
    </row>
    <row r="772" spans="9:12" ht="15.75" customHeight="1" x14ac:dyDescent="0.25">
      <c r="I772" s="75"/>
      <c r="L772" s="55"/>
    </row>
    <row r="773" spans="9:12" ht="15.75" customHeight="1" x14ac:dyDescent="0.25">
      <c r="I773" s="75"/>
      <c r="L773" s="55"/>
    </row>
    <row r="774" spans="9:12" ht="15.75" customHeight="1" x14ac:dyDescent="0.25">
      <c r="I774" s="75"/>
      <c r="L774" s="55"/>
    </row>
    <row r="775" spans="9:12" ht="15.75" customHeight="1" x14ac:dyDescent="0.25">
      <c r="I775" s="75"/>
      <c r="L775" s="55"/>
    </row>
    <row r="776" spans="9:12" ht="15.75" customHeight="1" x14ac:dyDescent="0.25">
      <c r="I776" s="75"/>
      <c r="L776" s="55"/>
    </row>
    <row r="777" spans="9:12" ht="15.75" customHeight="1" x14ac:dyDescent="0.25">
      <c r="I777" s="75"/>
      <c r="L777" s="55"/>
    </row>
    <row r="778" spans="9:12" ht="15.75" customHeight="1" x14ac:dyDescent="0.25">
      <c r="I778" s="75"/>
      <c r="L778" s="55"/>
    </row>
    <row r="779" spans="9:12" ht="15.75" customHeight="1" x14ac:dyDescent="0.25">
      <c r="I779" s="75"/>
      <c r="L779" s="55"/>
    </row>
    <row r="780" spans="9:12" ht="15.75" customHeight="1" x14ac:dyDescent="0.25">
      <c r="I780" s="75"/>
      <c r="L780" s="55"/>
    </row>
    <row r="781" spans="9:12" ht="15.75" customHeight="1" x14ac:dyDescent="0.25">
      <c r="I781" s="75"/>
      <c r="L781" s="55"/>
    </row>
    <row r="782" spans="9:12" ht="15.75" customHeight="1" x14ac:dyDescent="0.25">
      <c r="I782" s="75"/>
      <c r="L782" s="55"/>
    </row>
    <row r="783" spans="9:12" ht="15.75" customHeight="1" x14ac:dyDescent="0.25">
      <c r="I783" s="75"/>
      <c r="L783" s="55"/>
    </row>
    <row r="784" spans="9:12" ht="15.75" customHeight="1" x14ac:dyDescent="0.25">
      <c r="I784" s="75"/>
      <c r="L784" s="55"/>
    </row>
    <row r="785" spans="9:12" ht="15.75" customHeight="1" x14ac:dyDescent="0.25">
      <c r="I785" s="75"/>
      <c r="L785" s="55"/>
    </row>
    <row r="786" spans="9:12" ht="15.75" customHeight="1" x14ac:dyDescent="0.25">
      <c r="I786" s="75"/>
      <c r="L786" s="55"/>
    </row>
    <row r="787" spans="9:12" ht="15.75" customHeight="1" x14ac:dyDescent="0.25">
      <c r="I787" s="75"/>
      <c r="L787" s="55"/>
    </row>
    <row r="788" spans="9:12" ht="15.75" customHeight="1" x14ac:dyDescent="0.25">
      <c r="I788" s="75"/>
      <c r="L788" s="55"/>
    </row>
    <row r="789" spans="9:12" ht="15.75" customHeight="1" x14ac:dyDescent="0.25">
      <c r="I789" s="75"/>
      <c r="L789" s="55"/>
    </row>
    <row r="790" spans="9:12" ht="15.75" customHeight="1" x14ac:dyDescent="0.25">
      <c r="I790" s="75"/>
      <c r="L790" s="55"/>
    </row>
    <row r="791" spans="9:12" ht="15.75" customHeight="1" x14ac:dyDescent="0.25">
      <c r="I791" s="75"/>
      <c r="L791" s="55"/>
    </row>
    <row r="792" spans="9:12" ht="15.75" customHeight="1" x14ac:dyDescent="0.25">
      <c r="I792" s="75"/>
      <c r="L792" s="55"/>
    </row>
    <row r="793" spans="9:12" ht="15.75" customHeight="1" x14ac:dyDescent="0.25">
      <c r="I793" s="75"/>
      <c r="L793" s="55"/>
    </row>
    <row r="794" spans="9:12" ht="15.75" customHeight="1" x14ac:dyDescent="0.25">
      <c r="I794" s="75"/>
      <c r="L794" s="55"/>
    </row>
    <row r="795" spans="9:12" ht="15.75" customHeight="1" x14ac:dyDescent="0.25">
      <c r="I795" s="75"/>
      <c r="L795" s="55"/>
    </row>
    <row r="796" spans="9:12" ht="15.75" customHeight="1" x14ac:dyDescent="0.25">
      <c r="I796" s="75"/>
      <c r="L796" s="55"/>
    </row>
    <row r="797" spans="9:12" ht="15.75" customHeight="1" x14ac:dyDescent="0.25">
      <c r="I797" s="75"/>
      <c r="L797" s="55"/>
    </row>
    <row r="798" spans="9:12" ht="15.75" customHeight="1" x14ac:dyDescent="0.25">
      <c r="I798" s="75"/>
      <c r="L798" s="55"/>
    </row>
    <row r="799" spans="9:12" ht="15.75" customHeight="1" x14ac:dyDescent="0.25">
      <c r="I799" s="75"/>
      <c r="L799" s="55"/>
    </row>
    <row r="800" spans="9:12" ht="15.75" customHeight="1" x14ac:dyDescent="0.25">
      <c r="I800" s="75"/>
      <c r="L800" s="55"/>
    </row>
    <row r="801" spans="9:12" ht="15.75" customHeight="1" x14ac:dyDescent="0.25">
      <c r="I801" s="75"/>
      <c r="L801" s="55"/>
    </row>
    <row r="802" spans="9:12" ht="15.75" customHeight="1" x14ac:dyDescent="0.25">
      <c r="I802" s="75"/>
      <c r="L802" s="55"/>
    </row>
    <row r="803" spans="9:12" ht="15.75" customHeight="1" x14ac:dyDescent="0.25">
      <c r="I803" s="75"/>
      <c r="L803" s="55"/>
    </row>
    <row r="804" spans="9:12" ht="15.75" customHeight="1" x14ac:dyDescent="0.25">
      <c r="I804" s="75"/>
      <c r="L804" s="55"/>
    </row>
    <row r="805" spans="9:12" ht="15.75" customHeight="1" x14ac:dyDescent="0.25">
      <c r="I805" s="75"/>
      <c r="L805" s="55"/>
    </row>
    <row r="806" spans="9:12" ht="15.75" customHeight="1" x14ac:dyDescent="0.25">
      <c r="I806" s="75"/>
      <c r="L806" s="55"/>
    </row>
    <row r="807" spans="9:12" ht="15.75" customHeight="1" x14ac:dyDescent="0.25">
      <c r="I807" s="75"/>
      <c r="L807" s="55"/>
    </row>
    <row r="808" spans="9:12" ht="15.75" customHeight="1" x14ac:dyDescent="0.25">
      <c r="I808" s="75"/>
      <c r="L808" s="55"/>
    </row>
    <row r="809" spans="9:12" ht="15.75" customHeight="1" x14ac:dyDescent="0.25">
      <c r="I809" s="75"/>
      <c r="L809" s="55"/>
    </row>
    <row r="810" spans="9:12" ht="15.75" customHeight="1" x14ac:dyDescent="0.25">
      <c r="I810" s="75"/>
      <c r="L810" s="55"/>
    </row>
    <row r="811" spans="9:12" ht="15.75" customHeight="1" x14ac:dyDescent="0.25">
      <c r="I811" s="75"/>
      <c r="L811" s="55"/>
    </row>
    <row r="812" spans="9:12" ht="15.75" customHeight="1" x14ac:dyDescent="0.25">
      <c r="I812" s="75"/>
      <c r="L812" s="55"/>
    </row>
    <row r="813" spans="9:12" ht="15.75" customHeight="1" x14ac:dyDescent="0.25">
      <c r="I813" s="75"/>
      <c r="L813" s="55"/>
    </row>
    <row r="814" spans="9:12" ht="15.75" customHeight="1" x14ac:dyDescent="0.25">
      <c r="I814" s="75"/>
      <c r="L814" s="55"/>
    </row>
    <row r="815" spans="9:12" ht="15.75" customHeight="1" x14ac:dyDescent="0.25">
      <c r="I815" s="75"/>
      <c r="L815" s="55"/>
    </row>
    <row r="816" spans="9:12" ht="15.75" customHeight="1" x14ac:dyDescent="0.25">
      <c r="I816" s="75"/>
      <c r="L816" s="55"/>
    </row>
    <row r="817" spans="9:12" ht="15.75" customHeight="1" x14ac:dyDescent="0.25">
      <c r="I817" s="75"/>
      <c r="L817" s="55"/>
    </row>
    <row r="818" spans="9:12" ht="15.75" customHeight="1" x14ac:dyDescent="0.25">
      <c r="I818" s="75"/>
      <c r="L818" s="55"/>
    </row>
    <row r="819" spans="9:12" ht="15.75" customHeight="1" x14ac:dyDescent="0.25">
      <c r="I819" s="75"/>
      <c r="L819" s="55"/>
    </row>
    <row r="820" spans="9:12" ht="15.75" customHeight="1" x14ac:dyDescent="0.25">
      <c r="I820" s="75"/>
      <c r="L820" s="55"/>
    </row>
    <row r="821" spans="9:12" ht="15.75" customHeight="1" x14ac:dyDescent="0.25">
      <c r="I821" s="75"/>
      <c r="L821" s="55"/>
    </row>
    <row r="822" spans="9:12" ht="15.75" customHeight="1" x14ac:dyDescent="0.25">
      <c r="I822" s="75"/>
      <c r="L822" s="55"/>
    </row>
    <row r="823" spans="9:12" ht="15.75" customHeight="1" x14ac:dyDescent="0.25">
      <c r="I823" s="75"/>
      <c r="L823" s="55"/>
    </row>
    <row r="824" spans="9:12" ht="15.75" customHeight="1" x14ac:dyDescent="0.25">
      <c r="I824" s="75"/>
      <c r="L824" s="55"/>
    </row>
    <row r="825" spans="9:12" ht="15.75" customHeight="1" x14ac:dyDescent="0.25">
      <c r="I825" s="75"/>
      <c r="L825" s="55"/>
    </row>
    <row r="826" spans="9:12" ht="15.75" customHeight="1" x14ac:dyDescent="0.25">
      <c r="I826" s="75"/>
      <c r="L826" s="55"/>
    </row>
    <row r="827" spans="9:12" ht="15.75" customHeight="1" x14ac:dyDescent="0.25">
      <c r="I827" s="75"/>
      <c r="L827" s="55"/>
    </row>
    <row r="828" spans="9:12" ht="15.75" customHeight="1" x14ac:dyDescent="0.25">
      <c r="I828" s="75"/>
      <c r="L828" s="55"/>
    </row>
    <row r="829" spans="9:12" ht="15.75" customHeight="1" x14ac:dyDescent="0.25">
      <c r="I829" s="75"/>
      <c r="L829" s="55"/>
    </row>
    <row r="830" spans="9:12" ht="15.75" customHeight="1" x14ac:dyDescent="0.25">
      <c r="I830" s="75"/>
      <c r="L830" s="55"/>
    </row>
    <row r="831" spans="9:12" ht="15.75" customHeight="1" x14ac:dyDescent="0.25">
      <c r="I831" s="75"/>
      <c r="L831" s="55"/>
    </row>
    <row r="832" spans="9:12" ht="15.75" customHeight="1" x14ac:dyDescent="0.25">
      <c r="I832" s="75"/>
      <c r="L832" s="55"/>
    </row>
    <row r="833" spans="9:12" ht="15.75" customHeight="1" x14ac:dyDescent="0.25">
      <c r="I833" s="75"/>
      <c r="L833" s="55"/>
    </row>
    <row r="834" spans="9:12" ht="15.75" customHeight="1" x14ac:dyDescent="0.25">
      <c r="I834" s="75"/>
      <c r="L834" s="55"/>
    </row>
    <row r="835" spans="9:12" ht="15.75" customHeight="1" x14ac:dyDescent="0.25">
      <c r="I835" s="75"/>
      <c r="L835" s="55"/>
    </row>
    <row r="836" spans="9:12" ht="15.75" customHeight="1" x14ac:dyDescent="0.25">
      <c r="I836" s="75"/>
      <c r="L836" s="55"/>
    </row>
    <row r="837" spans="9:12" ht="15.75" customHeight="1" x14ac:dyDescent="0.25">
      <c r="I837" s="75"/>
      <c r="L837" s="55"/>
    </row>
    <row r="838" spans="9:12" ht="15.75" customHeight="1" x14ac:dyDescent="0.25">
      <c r="I838" s="75"/>
      <c r="L838" s="55"/>
    </row>
    <row r="839" spans="9:12" ht="15.75" customHeight="1" x14ac:dyDescent="0.25">
      <c r="I839" s="75"/>
      <c r="L839" s="55"/>
    </row>
    <row r="840" spans="9:12" ht="15.75" customHeight="1" x14ac:dyDescent="0.25">
      <c r="I840" s="75"/>
      <c r="L840" s="55"/>
    </row>
    <row r="841" spans="9:12" ht="15.75" customHeight="1" x14ac:dyDescent="0.25">
      <c r="I841" s="75"/>
      <c r="L841" s="55"/>
    </row>
    <row r="842" spans="9:12" ht="15.75" customHeight="1" x14ac:dyDescent="0.25">
      <c r="I842" s="75"/>
      <c r="L842" s="55"/>
    </row>
    <row r="843" spans="9:12" ht="15.75" customHeight="1" x14ac:dyDescent="0.25">
      <c r="I843" s="75"/>
      <c r="L843" s="55"/>
    </row>
    <row r="844" spans="9:12" ht="15.75" customHeight="1" x14ac:dyDescent="0.25">
      <c r="I844" s="75"/>
      <c r="L844" s="55"/>
    </row>
    <row r="845" spans="9:12" ht="15.75" customHeight="1" x14ac:dyDescent="0.25">
      <c r="I845" s="75"/>
      <c r="L845" s="55"/>
    </row>
    <row r="846" spans="9:12" ht="15.75" customHeight="1" x14ac:dyDescent="0.25">
      <c r="I846" s="75"/>
      <c r="L846" s="55"/>
    </row>
    <row r="847" spans="9:12" ht="15.75" customHeight="1" x14ac:dyDescent="0.25">
      <c r="I847" s="75"/>
      <c r="L847" s="55"/>
    </row>
    <row r="848" spans="9:12" ht="15.75" customHeight="1" x14ac:dyDescent="0.25">
      <c r="I848" s="75"/>
      <c r="L848" s="55"/>
    </row>
    <row r="849" spans="9:12" ht="15.75" customHeight="1" x14ac:dyDescent="0.25">
      <c r="I849" s="75"/>
      <c r="L849" s="55"/>
    </row>
    <row r="850" spans="9:12" ht="15.75" customHeight="1" x14ac:dyDescent="0.25">
      <c r="I850" s="75"/>
      <c r="L850" s="55"/>
    </row>
    <row r="851" spans="9:12" ht="15.75" customHeight="1" x14ac:dyDescent="0.25">
      <c r="I851" s="75"/>
      <c r="L851" s="55"/>
    </row>
    <row r="852" spans="9:12" ht="15.75" customHeight="1" x14ac:dyDescent="0.25">
      <c r="I852" s="75"/>
      <c r="L852" s="55"/>
    </row>
    <row r="853" spans="9:12" ht="15.75" customHeight="1" x14ac:dyDescent="0.25">
      <c r="I853" s="75"/>
      <c r="L853" s="55"/>
    </row>
    <row r="854" spans="9:12" ht="15.75" customHeight="1" x14ac:dyDescent="0.25">
      <c r="I854" s="75"/>
      <c r="L854" s="55"/>
    </row>
    <row r="855" spans="9:12" ht="15.75" customHeight="1" x14ac:dyDescent="0.25">
      <c r="I855" s="75"/>
      <c r="L855" s="55"/>
    </row>
    <row r="856" spans="9:12" ht="15.75" customHeight="1" x14ac:dyDescent="0.25">
      <c r="I856" s="75"/>
      <c r="L856" s="55"/>
    </row>
    <row r="857" spans="9:12" ht="15.75" customHeight="1" x14ac:dyDescent="0.25">
      <c r="I857" s="75"/>
      <c r="L857" s="55"/>
    </row>
    <row r="858" spans="9:12" ht="15.75" customHeight="1" x14ac:dyDescent="0.25">
      <c r="I858" s="75"/>
      <c r="L858" s="55"/>
    </row>
    <row r="859" spans="9:12" ht="15.75" customHeight="1" x14ac:dyDescent="0.25">
      <c r="I859" s="75"/>
      <c r="L859" s="55"/>
    </row>
    <row r="860" spans="9:12" ht="15.75" customHeight="1" x14ac:dyDescent="0.25">
      <c r="I860" s="75"/>
      <c r="L860" s="55"/>
    </row>
    <row r="861" spans="9:12" ht="15.75" customHeight="1" x14ac:dyDescent="0.25">
      <c r="I861" s="75"/>
      <c r="L861" s="55"/>
    </row>
    <row r="862" spans="9:12" ht="15.75" customHeight="1" x14ac:dyDescent="0.25">
      <c r="I862" s="75"/>
      <c r="L862" s="55"/>
    </row>
    <row r="863" spans="9:12" ht="15.75" customHeight="1" x14ac:dyDescent="0.25">
      <c r="I863" s="75"/>
      <c r="L863" s="55"/>
    </row>
    <row r="864" spans="9:12" ht="15.75" customHeight="1" x14ac:dyDescent="0.25">
      <c r="I864" s="75"/>
      <c r="L864" s="55"/>
    </row>
    <row r="865" spans="9:12" ht="15.75" customHeight="1" x14ac:dyDescent="0.25">
      <c r="I865" s="75"/>
      <c r="L865" s="55"/>
    </row>
    <row r="866" spans="9:12" ht="15.75" customHeight="1" x14ac:dyDescent="0.25">
      <c r="I866" s="75"/>
      <c r="L866" s="55"/>
    </row>
    <row r="867" spans="9:12" ht="15.75" customHeight="1" x14ac:dyDescent="0.25">
      <c r="I867" s="75"/>
      <c r="L867" s="55"/>
    </row>
    <row r="868" spans="9:12" ht="15.75" customHeight="1" x14ac:dyDescent="0.25">
      <c r="I868" s="75"/>
      <c r="L868" s="55"/>
    </row>
    <row r="869" spans="9:12" ht="15.75" customHeight="1" x14ac:dyDescent="0.25">
      <c r="I869" s="75"/>
      <c r="L869" s="55"/>
    </row>
    <row r="870" spans="9:12" ht="15.75" customHeight="1" x14ac:dyDescent="0.25">
      <c r="I870" s="75"/>
      <c r="L870" s="55"/>
    </row>
    <row r="871" spans="9:12" ht="15.75" customHeight="1" x14ac:dyDescent="0.25">
      <c r="I871" s="75"/>
      <c r="L871" s="55"/>
    </row>
    <row r="872" spans="9:12" ht="15.75" customHeight="1" x14ac:dyDescent="0.25">
      <c r="I872" s="75"/>
      <c r="L872" s="55"/>
    </row>
    <row r="873" spans="9:12" ht="15.75" customHeight="1" x14ac:dyDescent="0.25">
      <c r="I873" s="75"/>
      <c r="L873" s="55"/>
    </row>
    <row r="874" spans="9:12" ht="15.75" customHeight="1" x14ac:dyDescent="0.25">
      <c r="I874" s="75"/>
      <c r="L874" s="55"/>
    </row>
    <row r="875" spans="9:12" ht="15.75" customHeight="1" x14ac:dyDescent="0.25">
      <c r="I875" s="75"/>
      <c r="L875" s="55"/>
    </row>
    <row r="876" spans="9:12" ht="15.75" customHeight="1" x14ac:dyDescent="0.25">
      <c r="I876" s="75"/>
      <c r="L876" s="55"/>
    </row>
    <row r="877" spans="9:12" ht="15.75" customHeight="1" x14ac:dyDescent="0.25">
      <c r="I877" s="75"/>
      <c r="L877" s="55"/>
    </row>
    <row r="878" spans="9:12" ht="15.75" customHeight="1" x14ac:dyDescent="0.25">
      <c r="I878" s="75"/>
      <c r="L878" s="55"/>
    </row>
    <row r="879" spans="9:12" ht="15.75" customHeight="1" x14ac:dyDescent="0.25">
      <c r="I879" s="75"/>
      <c r="L879" s="55"/>
    </row>
    <row r="880" spans="9:12" ht="15.75" customHeight="1" x14ac:dyDescent="0.25">
      <c r="I880" s="75"/>
      <c r="L880" s="55"/>
    </row>
    <row r="881" spans="9:12" ht="15.75" customHeight="1" x14ac:dyDescent="0.25">
      <c r="I881" s="75"/>
      <c r="L881" s="55"/>
    </row>
    <row r="882" spans="9:12" ht="15.75" customHeight="1" x14ac:dyDescent="0.25">
      <c r="I882" s="75"/>
      <c r="L882" s="55"/>
    </row>
    <row r="883" spans="9:12" ht="15.75" customHeight="1" x14ac:dyDescent="0.25">
      <c r="I883" s="75"/>
      <c r="L883" s="55"/>
    </row>
    <row r="884" spans="9:12" ht="15.75" customHeight="1" x14ac:dyDescent="0.25">
      <c r="I884" s="75"/>
      <c r="L884" s="55"/>
    </row>
    <row r="885" spans="9:12" ht="15.75" customHeight="1" x14ac:dyDescent="0.25">
      <c r="I885" s="75"/>
      <c r="L885" s="55"/>
    </row>
    <row r="886" spans="9:12" ht="15.75" customHeight="1" x14ac:dyDescent="0.25">
      <c r="I886" s="75"/>
      <c r="L886" s="55"/>
    </row>
    <row r="887" spans="9:12" ht="15.75" customHeight="1" x14ac:dyDescent="0.25">
      <c r="I887" s="75"/>
      <c r="L887" s="55"/>
    </row>
    <row r="888" spans="9:12" ht="15.75" customHeight="1" x14ac:dyDescent="0.25">
      <c r="I888" s="75"/>
      <c r="L888" s="55"/>
    </row>
    <row r="889" spans="9:12" ht="15.75" customHeight="1" x14ac:dyDescent="0.25">
      <c r="I889" s="75"/>
      <c r="L889" s="55"/>
    </row>
    <row r="890" spans="9:12" ht="15.75" customHeight="1" x14ac:dyDescent="0.25">
      <c r="I890" s="75"/>
      <c r="L890" s="55"/>
    </row>
    <row r="891" spans="9:12" ht="15.75" customHeight="1" x14ac:dyDescent="0.25">
      <c r="I891" s="75"/>
      <c r="L891" s="55"/>
    </row>
    <row r="892" spans="9:12" ht="15.75" customHeight="1" x14ac:dyDescent="0.25">
      <c r="I892" s="75"/>
      <c r="L892" s="55"/>
    </row>
    <row r="893" spans="9:12" ht="15.75" customHeight="1" x14ac:dyDescent="0.25">
      <c r="I893" s="75"/>
      <c r="L893" s="55"/>
    </row>
    <row r="894" spans="9:12" ht="15.75" customHeight="1" x14ac:dyDescent="0.25">
      <c r="I894" s="75"/>
      <c r="L894" s="55"/>
    </row>
    <row r="895" spans="9:12" ht="15.75" customHeight="1" x14ac:dyDescent="0.25">
      <c r="I895" s="75"/>
      <c r="L895" s="55"/>
    </row>
    <row r="896" spans="9:12" ht="15.75" customHeight="1" x14ac:dyDescent="0.25">
      <c r="I896" s="75"/>
      <c r="L896" s="55"/>
    </row>
    <row r="897" spans="9:12" ht="15.75" customHeight="1" x14ac:dyDescent="0.25">
      <c r="I897" s="75"/>
      <c r="L897" s="55"/>
    </row>
    <row r="898" spans="9:12" ht="15.75" customHeight="1" x14ac:dyDescent="0.25">
      <c r="I898" s="75"/>
      <c r="L898" s="55"/>
    </row>
    <row r="899" spans="9:12" ht="15.75" customHeight="1" x14ac:dyDescent="0.25">
      <c r="I899" s="75"/>
      <c r="L899" s="55"/>
    </row>
    <row r="900" spans="9:12" ht="15.75" customHeight="1" x14ac:dyDescent="0.25">
      <c r="I900" s="75"/>
      <c r="L900" s="55"/>
    </row>
    <row r="901" spans="9:12" ht="15.75" customHeight="1" x14ac:dyDescent="0.25">
      <c r="I901" s="75"/>
      <c r="L901" s="55"/>
    </row>
    <row r="902" spans="9:12" ht="15.75" customHeight="1" x14ac:dyDescent="0.25">
      <c r="I902" s="75"/>
      <c r="L902" s="55"/>
    </row>
    <row r="903" spans="9:12" ht="15.75" customHeight="1" x14ac:dyDescent="0.25">
      <c r="I903" s="75"/>
      <c r="L903" s="55"/>
    </row>
    <row r="904" spans="9:12" ht="15.75" customHeight="1" x14ac:dyDescent="0.25">
      <c r="I904" s="75"/>
      <c r="L904" s="55"/>
    </row>
    <row r="905" spans="9:12" ht="15.75" customHeight="1" x14ac:dyDescent="0.25">
      <c r="I905" s="75"/>
      <c r="L905" s="55"/>
    </row>
    <row r="906" spans="9:12" ht="15.75" customHeight="1" x14ac:dyDescent="0.25">
      <c r="I906" s="75"/>
      <c r="L906" s="55"/>
    </row>
    <row r="907" spans="9:12" ht="15.75" customHeight="1" x14ac:dyDescent="0.25">
      <c r="I907" s="75"/>
      <c r="L907" s="55"/>
    </row>
    <row r="908" spans="9:12" ht="15.75" customHeight="1" x14ac:dyDescent="0.25">
      <c r="I908" s="75"/>
      <c r="L908" s="55"/>
    </row>
    <row r="909" spans="9:12" ht="15.75" customHeight="1" x14ac:dyDescent="0.25">
      <c r="I909" s="75"/>
      <c r="L909" s="55"/>
    </row>
    <row r="910" spans="9:12" ht="15.75" customHeight="1" x14ac:dyDescent="0.25">
      <c r="I910" s="75"/>
      <c r="L910" s="55"/>
    </row>
    <row r="911" spans="9:12" ht="15.75" customHeight="1" x14ac:dyDescent="0.25">
      <c r="I911" s="75"/>
      <c r="L911" s="55"/>
    </row>
    <row r="912" spans="9:12" ht="15.75" customHeight="1" x14ac:dyDescent="0.25">
      <c r="I912" s="75"/>
      <c r="L912" s="55"/>
    </row>
    <row r="913" spans="9:12" ht="15.75" customHeight="1" x14ac:dyDescent="0.25">
      <c r="I913" s="75"/>
      <c r="L913" s="55"/>
    </row>
    <row r="914" spans="9:12" ht="15.75" customHeight="1" x14ac:dyDescent="0.25">
      <c r="I914" s="75"/>
      <c r="L914" s="55"/>
    </row>
    <row r="915" spans="9:12" ht="15.75" customHeight="1" x14ac:dyDescent="0.25">
      <c r="I915" s="75"/>
      <c r="L915" s="55"/>
    </row>
    <row r="916" spans="9:12" ht="15.75" customHeight="1" x14ac:dyDescent="0.25">
      <c r="I916" s="75"/>
      <c r="L916" s="55"/>
    </row>
    <row r="917" spans="9:12" ht="15.75" customHeight="1" x14ac:dyDescent="0.25">
      <c r="I917" s="75"/>
      <c r="L917" s="55"/>
    </row>
    <row r="918" spans="9:12" ht="15.75" customHeight="1" x14ac:dyDescent="0.25">
      <c r="I918" s="75"/>
      <c r="L918" s="55"/>
    </row>
    <row r="919" spans="9:12" ht="15.75" customHeight="1" x14ac:dyDescent="0.25">
      <c r="I919" s="75"/>
      <c r="L919" s="55"/>
    </row>
    <row r="920" spans="9:12" ht="15.75" customHeight="1" x14ac:dyDescent="0.25">
      <c r="I920" s="75"/>
      <c r="L920" s="55"/>
    </row>
    <row r="921" spans="9:12" ht="15.75" customHeight="1" x14ac:dyDescent="0.25">
      <c r="I921" s="75"/>
      <c r="L921" s="55"/>
    </row>
    <row r="922" spans="9:12" ht="15.75" customHeight="1" x14ac:dyDescent="0.25">
      <c r="I922" s="75"/>
      <c r="L922" s="55"/>
    </row>
    <row r="923" spans="9:12" ht="15.75" customHeight="1" x14ac:dyDescent="0.25">
      <c r="I923" s="75"/>
      <c r="L923" s="55"/>
    </row>
    <row r="924" spans="9:12" ht="15.75" customHeight="1" x14ac:dyDescent="0.25">
      <c r="I924" s="75"/>
      <c r="L924" s="55"/>
    </row>
    <row r="925" spans="9:12" ht="15.75" customHeight="1" x14ac:dyDescent="0.25">
      <c r="I925" s="75"/>
      <c r="L925" s="55"/>
    </row>
    <row r="926" spans="9:12" ht="15.75" customHeight="1" x14ac:dyDescent="0.25">
      <c r="I926" s="75"/>
      <c r="L926" s="55"/>
    </row>
    <row r="927" spans="9:12" ht="15.75" customHeight="1" x14ac:dyDescent="0.25">
      <c r="I927" s="75"/>
      <c r="L927" s="55"/>
    </row>
    <row r="928" spans="9:12" ht="15.75" customHeight="1" x14ac:dyDescent="0.25">
      <c r="I928" s="75"/>
      <c r="L928" s="55"/>
    </row>
    <row r="929" spans="9:12" ht="15.75" customHeight="1" x14ac:dyDescent="0.25">
      <c r="I929" s="75"/>
      <c r="L929" s="55"/>
    </row>
    <row r="930" spans="9:12" ht="15.75" customHeight="1" x14ac:dyDescent="0.25">
      <c r="I930" s="75"/>
      <c r="L930" s="55"/>
    </row>
    <row r="931" spans="9:12" ht="15.75" customHeight="1" x14ac:dyDescent="0.25">
      <c r="I931" s="75"/>
      <c r="L931" s="55"/>
    </row>
    <row r="932" spans="9:12" ht="15.75" customHeight="1" x14ac:dyDescent="0.25">
      <c r="I932" s="75"/>
      <c r="L932" s="55"/>
    </row>
    <row r="933" spans="9:12" ht="15.75" customHeight="1" x14ac:dyDescent="0.25">
      <c r="I933" s="75"/>
      <c r="L933" s="55"/>
    </row>
    <row r="934" spans="9:12" ht="15.75" customHeight="1" x14ac:dyDescent="0.25">
      <c r="I934" s="75"/>
      <c r="L934" s="55"/>
    </row>
    <row r="935" spans="9:12" ht="15.75" customHeight="1" x14ac:dyDescent="0.25">
      <c r="I935" s="75"/>
      <c r="L935" s="55"/>
    </row>
    <row r="936" spans="9:12" ht="15.75" customHeight="1" x14ac:dyDescent="0.25">
      <c r="I936" s="75"/>
      <c r="L936" s="55"/>
    </row>
    <row r="937" spans="9:12" ht="15.75" customHeight="1" x14ac:dyDescent="0.25">
      <c r="I937" s="75"/>
      <c r="L937" s="55"/>
    </row>
    <row r="938" spans="9:12" ht="15.75" customHeight="1" x14ac:dyDescent="0.25">
      <c r="I938" s="75"/>
      <c r="L938" s="55"/>
    </row>
    <row r="939" spans="9:12" ht="15.75" customHeight="1" x14ac:dyDescent="0.25">
      <c r="I939" s="75"/>
      <c r="L939" s="55"/>
    </row>
    <row r="940" spans="9:12" ht="15.75" customHeight="1" x14ac:dyDescent="0.25">
      <c r="I940" s="75"/>
      <c r="L940" s="55"/>
    </row>
    <row r="941" spans="9:12" ht="15.75" customHeight="1" x14ac:dyDescent="0.25">
      <c r="I941" s="75"/>
      <c r="L941" s="55"/>
    </row>
    <row r="942" spans="9:12" ht="15.75" customHeight="1" x14ac:dyDescent="0.25">
      <c r="I942" s="75"/>
      <c r="L942" s="55"/>
    </row>
    <row r="943" spans="9:12" ht="15.75" customHeight="1" x14ac:dyDescent="0.25">
      <c r="I943" s="75"/>
      <c r="L943" s="55"/>
    </row>
    <row r="944" spans="9:12" ht="15.75" customHeight="1" x14ac:dyDescent="0.25">
      <c r="I944" s="75"/>
      <c r="L944" s="55"/>
    </row>
    <row r="945" spans="9:12" ht="15.75" customHeight="1" x14ac:dyDescent="0.25">
      <c r="I945" s="75"/>
      <c r="L945" s="55"/>
    </row>
    <row r="946" spans="9:12" ht="15.75" customHeight="1" x14ac:dyDescent="0.25">
      <c r="I946" s="75"/>
      <c r="L946" s="55"/>
    </row>
    <row r="947" spans="9:12" ht="15.75" customHeight="1" x14ac:dyDescent="0.25">
      <c r="I947" s="75"/>
      <c r="L947" s="55"/>
    </row>
    <row r="948" spans="9:12" ht="15.75" customHeight="1" x14ac:dyDescent="0.25">
      <c r="I948" s="75"/>
      <c r="L948" s="55"/>
    </row>
    <row r="949" spans="9:12" ht="15.75" customHeight="1" x14ac:dyDescent="0.25">
      <c r="I949" s="75"/>
      <c r="L949" s="55"/>
    </row>
    <row r="950" spans="9:12" ht="15.75" customHeight="1" x14ac:dyDescent="0.25">
      <c r="I950" s="75"/>
      <c r="L950" s="55"/>
    </row>
    <row r="951" spans="9:12" ht="15.75" customHeight="1" x14ac:dyDescent="0.25">
      <c r="I951" s="75"/>
      <c r="L951" s="55"/>
    </row>
    <row r="952" spans="9:12" ht="15.75" customHeight="1" x14ac:dyDescent="0.25">
      <c r="I952" s="75"/>
      <c r="L952" s="55"/>
    </row>
    <row r="953" spans="9:12" ht="15.75" customHeight="1" x14ac:dyDescent="0.25">
      <c r="I953" s="75"/>
      <c r="L953" s="55"/>
    </row>
    <row r="954" spans="9:12" ht="15.75" customHeight="1" x14ac:dyDescent="0.25">
      <c r="I954" s="75"/>
      <c r="L954" s="55"/>
    </row>
    <row r="955" spans="9:12" ht="15.75" customHeight="1" x14ac:dyDescent="0.25">
      <c r="I955" s="75"/>
      <c r="L955" s="55"/>
    </row>
    <row r="956" spans="9:12" ht="15.75" customHeight="1" x14ac:dyDescent="0.25">
      <c r="I956" s="75"/>
      <c r="L956" s="55"/>
    </row>
    <row r="957" spans="9:12" ht="15.75" customHeight="1" x14ac:dyDescent="0.25">
      <c r="I957" s="75"/>
      <c r="L957" s="55"/>
    </row>
    <row r="958" spans="9:12" ht="15.75" customHeight="1" x14ac:dyDescent="0.25">
      <c r="I958" s="75"/>
      <c r="L958" s="55"/>
    </row>
    <row r="959" spans="9:12" ht="15.75" customHeight="1" x14ac:dyDescent="0.25">
      <c r="I959" s="75"/>
      <c r="L959" s="55"/>
    </row>
    <row r="960" spans="9:12" ht="15.75" customHeight="1" x14ac:dyDescent="0.25">
      <c r="I960" s="75"/>
      <c r="L960" s="55"/>
    </row>
    <row r="961" spans="9:12" ht="15.75" customHeight="1" x14ac:dyDescent="0.25">
      <c r="I961" s="75"/>
      <c r="L961" s="55"/>
    </row>
    <row r="962" spans="9:12" ht="15.75" customHeight="1" x14ac:dyDescent="0.25">
      <c r="I962" s="75"/>
      <c r="L962" s="55"/>
    </row>
    <row r="963" spans="9:12" ht="15.75" customHeight="1" x14ac:dyDescent="0.25">
      <c r="I963" s="75"/>
      <c r="L963" s="55"/>
    </row>
    <row r="964" spans="9:12" ht="15.75" customHeight="1" x14ac:dyDescent="0.25">
      <c r="I964" s="75"/>
      <c r="L964" s="55"/>
    </row>
    <row r="965" spans="9:12" ht="15.75" customHeight="1" x14ac:dyDescent="0.25">
      <c r="I965" s="75"/>
      <c r="L965" s="55"/>
    </row>
    <row r="966" spans="9:12" ht="15.75" customHeight="1" x14ac:dyDescent="0.25">
      <c r="I966" s="75"/>
      <c r="L966" s="55"/>
    </row>
    <row r="967" spans="9:12" ht="15.75" customHeight="1" x14ac:dyDescent="0.25">
      <c r="I967" s="75"/>
      <c r="L967" s="55"/>
    </row>
    <row r="968" spans="9:12" ht="15.75" customHeight="1" x14ac:dyDescent="0.25">
      <c r="I968" s="75"/>
      <c r="L968" s="55"/>
    </row>
    <row r="969" spans="9:12" ht="15.75" customHeight="1" x14ac:dyDescent="0.25">
      <c r="I969" s="75"/>
      <c r="L969" s="55"/>
    </row>
    <row r="970" spans="9:12" ht="15.75" customHeight="1" x14ac:dyDescent="0.25">
      <c r="I970" s="75"/>
      <c r="L970" s="55"/>
    </row>
    <row r="971" spans="9:12" ht="15.75" customHeight="1" x14ac:dyDescent="0.25">
      <c r="I971" s="75"/>
      <c r="L971" s="55"/>
    </row>
    <row r="972" spans="9:12" ht="15.75" customHeight="1" x14ac:dyDescent="0.25">
      <c r="I972" s="75"/>
      <c r="L972" s="55"/>
    </row>
    <row r="973" spans="9:12" ht="15.75" customHeight="1" x14ac:dyDescent="0.25">
      <c r="I973" s="75"/>
      <c r="L973" s="55"/>
    </row>
    <row r="974" spans="9:12" ht="15.75" customHeight="1" x14ac:dyDescent="0.25">
      <c r="I974" s="75"/>
      <c r="L974" s="55"/>
    </row>
    <row r="975" spans="9:12" ht="15.75" customHeight="1" x14ac:dyDescent="0.25">
      <c r="I975" s="75"/>
      <c r="L975" s="55"/>
    </row>
    <row r="976" spans="9:12" ht="15.75" customHeight="1" x14ac:dyDescent="0.25">
      <c r="I976" s="75"/>
      <c r="L976" s="55"/>
    </row>
    <row r="977" spans="9:12" ht="15.75" customHeight="1" x14ac:dyDescent="0.25">
      <c r="I977" s="75"/>
      <c r="L977" s="55"/>
    </row>
    <row r="978" spans="9:12" ht="15.75" customHeight="1" x14ac:dyDescent="0.25">
      <c r="I978" s="75"/>
      <c r="L978" s="55"/>
    </row>
    <row r="979" spans="9:12" ht="15.75" customHeight="1" x14ac:dyDescent="0.25">
      <c r="I979" s="75"/>
      <c r="L979" s="55"/>
    </row>
    <row r="980" spans="9:12" ht="15.75" customHeight="1" x14ac:dyDescent="0.25">
      <c r="I980" s="75"/>
      <c r="L980" s="55"/>
    </row>
    <row r="981" spans="9:12" ht="15.75" customHeight="1" x14ac:dyDescent="0.25">
      <c r="I981" s="75"/>
      <c r="L981" s="55"/>
    </row>
    <row r="982" spans="9:12" ht="15.75" customHeight="1" x14ac:dyDescent="0.25">
      <c r="I982" s="75"/>
      <c r="L982" s="55"/>
    </row>
    <row r="983" spans="9:12" ht="15.75" customHeight="1" x14ac:dyDescent="0.25">
      <c r="I983" s="75"/>
      <c r="L983" s="55"/>
    </row>
    <row r="984" spans="9:12" ht="15.75" customHeight="1" x14ac:dyDescent="0.25">
      <c r="I984" s="75"/>
      <c r="L984" s="55"/>
    </row>
    <row r="985" spans="9:12" ht="15.75" customHeight="1" x14ac:dyDescent="0.25">
      <c r="I985" s="75"/>
      <c r="L985" s="55"/>
    </row>
    <row r="986" spans="9:12" ht="15.75" customHeight="1" x14ac:dyDescent="0.25">
      <c r="I986" s="75"/>
      <c r="L986" s="55"/>
    </row>
    <row r="987" spans="9:12" ht="15.75" customHeight="1" x14ac:dyDescent="0.25">
      <c r="I987" s="75"/>
      <c r="L987" s="55"/>
    </row>
    <row r="988" spans="9:12" ht="15.75" customHeight="1" x14ac:dyDescent="0.25">
      <c r="I988" s="75"/>
      <c r="L988" s="55"/>
    </row>
    <row r="989" spans="9:12" ht="15.75" customHeight="1" x14ac:dyDescent="0.25">
      <c r="I989" s="75"/>
      <c r="L989" s="55"/>
    </row>
    <row r="990" spans="9:12" ht="15.75" customHeight="1" x14ac:dyDescent="0.25">
      <c r="I990" s="75"/>
      <c r="L990" s="55"/>
    </row>
    <row r="991" spans="9:12" ht="15.75" customHeight="1" x14ac:dyDescent="0.25">
      <c r="I991" s="75"/>
      <c r="L991" s="55"/>
    </row>
    <row r="992" spans="9:12" ht="15.75" customHeight="1" x14ac:dyDescent="0.25">
      <c r="I992" s="75"/>
      <c r="L992" s="55"/>
    </row>
    <row r="993" spans="9:12" ht="15.75" customHeight="1" x14ac:dyDescent="0.25">
      <c r="I993" s="75"/>
      <c r="L993" s="55"/>
    </row>
    <row r="994" spans="9:12" ht="15.75" customHeight="1" x14ac:dyDescent="0.25">
      <c r="I994" s="75"/>
      <c r="L994" s="55"/>
    </row>
    <row r="995" spans="9:12" ht="15.75" customHeight="1" x14ac:dyDescent="0.25">
      <c r="I995" s="75"/>
      <c r="L995" s="55"/>
    </row>
    <row r="996" spans="9:12" ht="15.75" customHeight="1" x14ac:dyDescent="0.25">
      <c r="I996" s="75"/>
      <c r="L996" s="55"/>
    </row>
    <row r="997" spans="9:12" ht="15.75" customHeight="1" x14ac:dyDescent="0.25">
      <c r="I997" s="75"/>
      <c r="L997" s="55"/>
    </row>
    <row r="998" spans="9:12" ht="15.75" customHeight="1" x14ac:dyDescent="0.25">
      <c r="I998" s="75"/>
      <c r="L998" s="55"/>
    </row>
    <row r="999" spans="9:12" ht="15.75" customHeight="1" x14ac:dyDescent="0.25">
      <c r="I999" s="75"/>
      <c r="L999" s="55"/>
    </row>
    <row r="1000" spans="9:12" ht="15.75" customHeight="1" x14ac:dyDescent="0.25">
      <c r="I1000" s="75"/>
      <c r="L1000" s="55"/>
    </row>
  </sheetData>
  <mergeCells count="6">
    <mergeCell ref="G1:J1"/>
    <mergeCell ref="A2:E2"/>
    <mergeCell ref="A11:C11"/>
    <mergeCell ref="G11:H11"/>
    <mergeCell ref="A12:D12"/>
    <mergeCell ref="G12:I12"/>
  </mergeCells>
  <dataValidations count="13">
    <dataValidation type="decimal" allowBlank="1" showErrorMessage="1" sqref="I8" xr:uid="{EC179533-E572-44C0-9D03-DEA7129CB8D9}">
      <formula1>0</formula1>
      <formula2>5000</formula2>
    </dataValidation>
    <dataValidation type="decimal" allowBlank="1" showErrorMessage="1" sqref="P7" xr:uid="{74B35EA5-F0F5-4B2C-B262-D0FB492558E9}">
      <formula1>2000.01</formula1>
      <formula2>5000</formula2>
    </dataValidation>
    <dataValidation type="decimal" allowBlank="1" showErrorMessage="1" sqref="P8" xr:uid="{4B68E37C-60F4-4D84-A870-B45A70954C11}">
      <formula1>5000.01</formula1>
      <formula2>10000</formula2>
    </dataValidation>
    <dataValidation type="decimal" allowBlank="1" showErrorMessage="1" sqref="I6" xr:uid="{23164BE5-0062-4981-A2A5-7C4D2B51E4F8}">
      <formula1>0</formula1>
      <formula2>1000</formula2>
    </dataValidation>
    <dataValidation type="decimal" allowBlank="1" showErrorMessage="1" sqref="I9" xr:uid="{6467D73A-4BDE-4EE8-AC2E-7459E7419987}">
      <formula1>0</formula1>
      <formula2>40000</formula2>
    </dataValidation>
    <dataValidation type="decimal" allowBlank="1" showErrorMessage="1" sqref="P4" xr:uid="{C93A81EF-E0E5-4245-B6D7-A2D53EABE6EF}">
      <formula1>250.01</formula1>
      <formula2>500</formula2>
    </dataValidation>
    <dataValidation type="decimal" allowBlank="1" showErrorMessage="1" sqref="P6" xr:uid="{44FBF73A-D591-4C3E-9B5C-17C5B91BC7FC}">
      <formula1>1000.01</formula1>
      <formula2>2000</formula2>
    </dataValidation>
    <dataValidation type="decimal" allowBlank="1" showErrorMessage="1" sqref="D3 P3 I3:I4" xr:uid="{BAB317A0-EB69-4B66-A47F-F78CBA906156}">
      <formula1>0</formula1>
      <formula2>250</formula2>
    </dataValidation>
    <dataValidation type="decimal" allowBlank="1" showErrorMessage="1" sqref="I10" xr:uid="{DD411F1F-99E0-473C-BE35-6441E609F6B8}">
      <formula1>0</formula1>
      <formula2>1000000</formula2>
    </dataValidation>
    <dataValidation type="decimal" allowBlank="1" showErrorMessage="1" sqref="P5" xr:uid="{323DB1F7-F31C-4F76-B4AE-8957A14CC692}">
      <formula1>500.01</formula1>
      <formula2>1000</formula2>
    </dataValidation>
    <dataValidation type="decimal" allowBlank="1" showErrorMessage="1" sqref="I5" xr:uid="{E94CA959-74C5-4CE9-9720-96D3C92DA7D7}">
      <formula1>0</formula1>
      <formula2>500</formula2>
    </dataValidation>
    <dataValidation type="decimal" allowBlank="1" showErrorMessage="1" sqref="I7" xr:uid="{075AC5FD-0E91-488C-9A30-D144FBBA1268}">
      <formula1>0</formula1>
      <formula2>3000</formula2>
    </dataValidation>
    <dataValidation type="decimal" allowBlank="1" showErrorMessage="1" sqref="P9" xr:uid="{59CB00CE-637B-435B-97DC-9D84E40640F0}">
      <formula1>10000.01</formula1>
      <formula2>50000</formula2>
    </dataValidation>
  </dataValidation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01EB9-037A-4F1F-95D6-B89B546CF953}">
  <sheetPr codeName="Sayfa2">
    <tabColor rgb="FF00B0F0"/>
  </sheetPr>
  <dimension ref="A2:AL882"/>
  <sheetViews>
    <sheetView tabSelected="1" workbookViewId="0">
      <selection activeCell="AN10" sqref="AN10"/>
    </sheetView>
  </sheetViews>
  <sheetFormatPr defaultColWidth="14.42578125" defaultRowHeight="15" customHeight="1" x14ac:dyDescent="0.25"/>
  <cols>
    <col min="1" max="1" width="14.7109375" style="34" customWidth="1"/>
    <col min="2" max="2" width="14.5703125" style="34" customWidth="1"/>
    <col min="3" max="3" width="8.7109375" style="34" customWidth="1"/>
    <col min="4" max="4" width="12.7109375" style="34" customWidth="1"/>
    <col min="5" max="34" width="3.7109375" style="34" customWidth="1"/>
    <col min="35" max="35" width="3.7109375" style="34" bestFit="1" customWidth="1"/>
    <col min="36" max="36" width="14.5703125" style="34" bestFit="1" customWidth="1"/>
    <col min="37" max="37" width="12.85546875" style="34" bestFit="1" customWidth="1"/>
    <col min="38" max="38" width="17.85546875" style="34" bestFit="1" customWidth="1"/>
    <col min="39" max="16384" width="14.42578125" style="34"/>
  </cols>
  <sheetData>
    <row r="2" spans="1:38" x14ac:dyDescent="0.25">
      <c r="A2" s="33" t="s">
        <v>100</v>
      </c>
      <c r="B2" s="34" t="s">
        <v>101</v>
      </c>
      <c r="AJ2" s="46" t="s">
        <v>109</v>
      </c>
      <c r="AK2" s="40">
        <v>110</v>
      </c>
      <c r="AL2" s="44" t="s">
        <v>105</v>
      </c>
    </row>
    <row r="3" spans="1:38" x14ac:dyDescent="0.25">
      <c r="A3" s="33" t="s">
        <v>102</v>
      </c>
      <c r="B3" s="34" t="s">
        <v>103</v>
      </c>
      <c r="AJ3" s="46" t="s">
        <v>254</v>
      </c>
      <c r="AK3" s="40">
        <v>140</v>
      </c>
      <c r="AL3" s="39" t="s">
        <v>105</v>
      </c>
    </row>
    <row r="4" spans="1:38" x14ac:dyDescent="0.25">
      <c r="A4" s="33" t="s">
        <v>104</v>
      </c>
      <c r="B4" s="34">
        <v>5396017223</v>
      </c>
      <c r="AJ4" s="46" t="s">
        <v>255</v>
      </c>
      <c r="AK4" s="40">
        <v>140</v>
      </c>
      <c r="AL4" s="39" t="s">
        <v>105</v>
      </c>
    </row>
    <row r="7" spans="1:38" ht="65.25" customHeight="1" x14ac:dyDescent="0.25">
      <c r="D7" s="35">
        <v>46023</v>
      </c>
      <c r="E7" s="36">
        <v>46023</v>
      </c>
      <c r="F7" s="36">
        <v>46024</v>
      </c>
      <c r="G7" s="36">
        <v>46025</v>
      </c>
      <c r="H7" s="36">
        <v>46026</v>
      </c>
      <c r="I7" s="36">
        <v>46027</v>
      </c>
      <c r="J7" s="36">
        <v>46028</v>
      </c>
      <c r="K7" s="36">
        <v>46029</v>
      </c>
      <c r="L7" s="36">
        <v>46030</v>
      </c>
      <c r="M7" s="36">
        <v>46031</v>
      </c>
      <c r="N7" s="36">
        <v>46032</v>
      </c>
      <c r="O7" s="36">
        <v>46033</v>
      </c>
      <c r="P7" s="36">
        <v>46034</v>
      </c>
      <c r="Q7" s="36">
        <v>46035</v>
      </c>
      <c r="R7" s="36">
        <v>46036</v>
      </c>
      <c r="S7" s="36">
        <v>46037</v>
      </c>
      <c r="T7" s="36">
        <v>46038</v>
      </c>
      <c r="U7" s="36">
        <v>46039</v>
      </c>
      <c r="V7" s="36">
        <v>46040</v>
      </c>
      <c r="W7" s="36">
        <v>46041</v>
      </c>
      <c r="X7" s="36">
        <v>46042</v>
      </c>
      <c r="Y7" s="36">
        <v>46043</v>
      </c>
      <c r="Z7" s="36">
        <v>46044</v>
      </c>
      <c r="AA7" s="36">
        <v>46045</v>
      </c>
      <c r="AB7" s="36">
        <v>46046</v>
      </c>
      <c r="AC7" s="36">
        <v>46047</v>
      </c>
      <c r="AD7" s="36">
        <v>46048</v>
      </c>
      <c r="AE7" s="36">
        <v>46049</v>
      </c>
      <c r="AF7" s="36">
        <v>46050</v>
      </c>
      <c r="AG7" s="36">
        <v>46051</v>
      </c>
      <c r="AH7" s="36">
        <v>46052</v>
      </c>
      <c r="AI7" s="36">
        <v>46053</v>
      </c>
      <c r="AJ7" s="47" t="s">
        <v>256</v>
      </c>
      <c r="AK7" s="48" t="s">
        <v>257</v>
      </c>
      <c r="AL7" s="49" t="s">
        <v>8</v>
      </c>
    </row>
    <row r="8" spans="1:38" ht="15" customHeight="1" x14ac:dyDescent="0.25">
      <c r="D8" s="41" t="s">
        <v>109</v>
      </c>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8"/>
      <c r="AJ8" s="50">
        <f>+SUM(E8:AI8)</f>
        <v>0</v>
      </c>
      <c r="AK8" s="51">
        <v>110</v>
      </c>
      <c r="AL8" s="51">
        <f>+AJ8*AK8</f>
        <v>0</v>
      </c>
    </row>
    <row r="9" spans="1:38" ht="15" customHeight="1" x14ac:dyDescent="0.25">
      <c r="D9" s="41" t="s">
        <v>108</v>
      </c>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8"/>
      <c r="AJ9" s="50">
        <f t="shared" ref="AJ9:AJ10" si="0">+SUM(E9:AI9)</f>
        <v>0</v>
      </c>
      <c r="AK9" s="51">
        <v>140</v>
      </c>
      <c r="AL9" s="51">
        <f t="shared" ref="AL9:AL10" si="1">+AJ9*AK9</f>
        <v>0</v>
      </c>
    </row>
    <row r="10" spans="1:38" ht="15" customHeight="1" x14ac:dyDescent="0.25">
      <c r="D10" s="41" t="s">
        <v>253</v>
      </c>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8"/>
      <c r="AJ10" s="50">
        <f t="shared" si="0"/>
        <v>0</v>
      </c>
      <c r="AK10" s="51">
        <v>140</v>
      </c>
      <c r="AL10" s="51">
        <f t="shared" si="1"/>
        <v>0</v>
      </c>
    </row>
    <row r="11" spans="1:38" ht="18.75" x14ac:dyDescent="0.3">
      <c r="D11" s="123" t="s">
        <v>258</v>
      </c>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5"/>
      <c r="AL11" s="52">
        <f>SUM(AL8:AL10)</f>
        <v>0</v>
      </c>
    </row>
    <row r="12" spans="1:38" ht="15.75" customHeight="1" x14ac:dyDescent="0.25"/>
    <row r="13" spans="1:38" ht="65.25" customHeight="1" x14ac:dyDescent="0.25">
      <c r="D13" s="35">
        <v>46054</v>
      </c>
      <c r="E13" s="36">
        <v>46054</v>
      </c>
      <c r="F13" s="36">
        <v>46055</v>
      </c>
      <c r="G13" s="36">
        <v>46056</v>
      </c>
      <c r="H13" s="36">
        <v>46057</v>
      </c>
      <c r="I13" s="36">
        <v>46058</v>
      </c>
      <c r="J13" s="36">
        <v>46059</v>
      </c>
      <c r="K13" s="36">
        <v>46060</v>
      </c>
      <c r="L13" s="36">
        <v>46061</v>
      </c>
      <c r="M13" s="36">
        <v>46062</v>
      </c>
      <c r="N13" s="36">
        <v>46063</v>
      </c>
      <c r="O13" s="36">
        <v>46064</v>
      </c>
      <c r="P13" s="36">
        <v>46065</v>
      </c>
      <c r="Q13" s="36">
        <v>46066</v>
      </c>
      <c r="R13" s="36">
        <v>46067</v>
      </c>
      <c r="S13" s="36">
        <v>46068</v>
      </c>
      <c r="T13" s="36">
        <v>46069</v>
      </c>
      <c r="U13" s="36">
        <v>46070</v>
      </c>
      <c r="V13" s="36">
        <v>46071</v>
      </c>
      <c r="W13" s="36">
        <v>46072</v>
      </c>
      <c r="X13" s="36">
        <v>46073</v>
      </c>
      <c r="Y13" s="36">
        <v>46074</v>
      </c>
      <c r="Z13" s="36">
        <v>46075</v>
      </c>
      <c r="AA13" s="36">
        <v>46076</v>
      </c>
      <c r="AB13" s="36">
        <v>46077</v>
      </c>
      <c r="AC13" s="36">
        <v>46078</v>
      </c>
      <c r="AD13" s="36">
        <v>46079</v>
      </c>
      <c r="AE13" s="36">
        <v>46080</v>
      </c>
      <c r="AF13" s="36">
        <v>46081</v>
      </c>
      <c r="AG13" s="36"/>
      <c r="AH13" s="36"/>
      <c r="AI13" s="36"/>
      <c r="AJ13" s="47" t="s">
        <v>256</v>
      </c>
      <c r="AK13" s="48" t="s">
        <v>257</v>
      </c>
      <c r="AL13" s="49" t="s">
        <v>8</v>
      </c>
    </row>
    <row r="14" spans="1:38" ht="15" customHeight="1" x14ac:dyDescent="0.25">
      <c r="D14" s="41" t="s">
        <v>109</v>
      </c>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8"/>
      <c r="AJ14" s="50">
        <f>+SUM(E14:AI14)</f>
        <v>0</v>
      </c>
      <c r="AK14" s="51"/>
      <c r="AL14" s="51">
        <f>+AJ14*AK14</f>
        <v>0</v>
      </c>
    </row>
    <row r="15" spans="1:38" ht="15" customHeight="1" x14ac:dyDescent="0.25">
      <c r="D15" s="41" t="s">
        <v>108</v>
      </c>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8"/>
      <c r="AJ15" s="50">
        <f t="shared" ref="AJ15:AJ16" si="2">+SUM(E15:AI15)</f>
        <v>0</v>
      </c>
      <c r="AK15" s="51"/>
      <c r="AL15" s="51">
        <f t="shared" ref="AL15:AL16" si="3">+AJ15*AK15</f>
        <v>0</v>
      </c>
    </row>
    <row r="16" spans="1:38" ht="15" customHeight="1" x14ac:dyDescent="0.25">
      <c r="D16" s="41" t="s">
        <v>253</v>
      </c>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8"/>
      <c r="AJ16" s="50">
        <f t="shared" si="2"/>
        <v>0</v>
      </c>
      <c r="AK16" s="51"/>
      <c r="AL16" s="51">
        <f t="shared" si="3"/>
        <v>0</v>
      </c>
    </row>
    <row r="17" spans="4:38" ht="18.75" x14ac:dyDescent="0.3">
      <c r="D17" s="123" t="s">
        <v>259</v>
      </c>
      <c r="E17" s="124"/>
      <c r="F17" s="124"/>
      <c r="G17" s="124"/>
      <c r="H17" s="124"/>
      <c r="I17" s="124"/>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5"/>
      <c r="AL17" s="52">
        <f>SUM(AL14:AL16)</f>
        <v>0</v>
      </c>
    </row>
    <row r="18" spans="4:38" ht="15.75" customHeight="1" x14ac:dyDescent="0.25"/>
    <row r="19" spans="4:38" ht="65.25" customHeight="1" x14ac:dyDescent="0.25">
      <c r="D19" s="35">
        <v>46082</v>
      </c>
      <c r="E19" s="36">
        <v>46082</v>
      </c>
      <c r="F19" s="36">
        <v>46083</v>
      </c>
      <c r="G19" s="36">
        <v>46084</v>
      </c>
      <c r="H19" s="36">
        <v>46085</v>
      </c>
      <c r="I19" s="36">
        <v>46086</v>
      </c>
      <c r="J19" s="36">
        <v>46087</v>
      </c>
      <c r="K19" s="36">
        <v>46088</v>
      </c>
      <c r="L19" s="36">
        <v>46089</v>
      </c>
      <c r="M19" s="36">
        <v>46090</v>
      </c>
      <c r="N19" s="36">
        <v>46091</v>
      </c>
      <c r="O19" s="36">
        <v>46092</v>
      </c>
      <c r="P19" s="36">
        <v>46093</v>
      </c>
      <c r="Q19" s="36">
        <v>46094</v>
      </c>
      <c r="R19" s="36">
        <v>46095</v>
      </c>
      <c r="S19" s="36">
        <v>46096</v>
      </c>
      <c r="T19" s="36">
        <v>46097</v>
      </c>
      <c r="U19" s="36">
        <v>46098</v>
      </c>
      <c r="V19" s="36">
        <v>46099</v>
      </c>
      <c r="W19" s="36">
        <v>46100</v>
      </c>
      <c r="X19" s="36">
        <v>46101</v>
      </c>
      <c r="Y19" s="36">
        <v>46102</v>
      </c>
      <c r="Z19" s="36">
        <v>46103</v>
      </c>
      <c r="AA19" s="36">
        <v>46104</v>
      </c>
      <c r="AB19" s="36">
        <v>46105</v>
      </c>
      <c r="AC19" s="36">
        <v>46106</v>
      </c>
      <c r="AD19" s="36">
        <v>46107</v>
      </c>
      <c r="AE19" s="36">
        <v>46108</v>
      </c>
      <c r="AF19" s="36">
        <v>46109</v>
      </c>
      <c r="AG19" s="36">
        <v>46110</v>
      </c>
      <c r="AH19" s="36">
        <v>46111</v>
      </c>
      <c r="AI19" s="36">
        <v>46112</v>
      </c>
      <c r="AJ19" s="47" t="s">
        <v>256</v>
      </c>
      <c r="AK19" s="48" t="s">
        <v>257</v>
      </c>
      <c r="AL19" s="49" t="s">
        <v>8</v>
      </c>
    </row>
    <row r="20" spans="4:38" ht="15" customHeight="1" x14ac:dyDescent="0.25">
      <c r="D20" s="41" t="s">
        <v>109</v>
      </c>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8"/>
      <c r="AJ20" s="50">
        <f>+SUM(E20:AI20)</f>
        <v>0</v>
      </c>
      <c r="AK20" s="51"/>
      <c r="AL20" s="51">
        <f>+AJ20*AK20</f>
        <v>0</v>
      </c>
    </row>
    <row r="21" spans="4:38" ht="15" customHeight="1" x14ac:dyDescent="0.25">
      <c r="D21" s="41" t="s">
        <v>108</v>
      </c>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8"/>
      <c r="AJ21" s="50">
        <f t="shared" ref="AJ21:AJ22" si="4">+SUM(E21:AI21)</f>
        <v>0</v>
      </c>
      <c r="AK21" s="51"/>
      <c r="AL21" s="51">
        <f t="shared" ref="AL21:AL22" si="5">+AJ21*AK21</f>
        <v>0</v>
      </c>
    </row>
    <row r="22" spans="4:38" ht="15" customHeight="1" x14ac:dyDescent="0.25">
      <c r="D22" s="41" t="s">
        <v>253</v>
      </c>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8"/>
      <c r="AJ22" s="50">
        <f t="shared" si="4"/>
        <v>0</v>
      </c>
      <c r="AK22" s="51"/>
      <c r="AL22" s="51">
        <f t="shared" si="5"/>
        <v>0</v>
      </c>
    </row>
    <row r="23" spans="4:38" ht="18.75" x14ac:dyDescent="0.3">
      <c r="D23" s="123" t="s">
        <v>260</v>
      </c>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5"/>
      <c r="AL23" s="52">
        <f>SUM(AL20:AL22)</f>
        <v>0</v>
      </c>
    </row>
    <row r="24" spans="4:38" ht="15.75" customHeight="1" x14ac:dyDescent="0.25"/>
    <row r="25" spans="4:38" ht="65.25" customHeight="1" x14ac:dyDescent="0.25">
      <c r="D25" s="35">
        <v>46113</v>
      </c>
      <c r="E25" s="36">
        <v>46113</v>
      </c>
      <c r="F25" s="36">
        <v>46114</v>
      </c>
      <c r="G25" s="36">
        <v>46115</v>
      </c>
      <c r="H25" s="36">
        <v>46116</v>
      </c>
      <c r="I25" s="36">
        <v>46117</v>
      </c>
      <c r="J25" s="36">
        <v>46118</v>
      </c>
      <c r="K25" s="36">
        <v>46119</v>
      </c>
      <c r="L25" s="36">
        <v>46120</v>
      </c>
      <c r="M25" s="36">
        <v>46121</v>
      </c>
      <c r="N25" s="36">
        <v>46122</v>
      </c>
      <c r="O25" s="36">
        <v>46123</v>
      </c>
      <c r="P25" s="36">
        <v>46124</v>
      </c>
      <c r="Q25" s="36">
        <v>46125</v>
      </c>
      <c r="R25" s="36">
        <v>46126</v>
      </c>
      <c r="S25" s="36">
        <v>46127</v>
      </c>
      <c r="T25" s="36">
        <v>46128</v>
      </c>
      <c r="U25" s="36">
        <v>46129</v>
      </c>
      <c r="V25" s="36">
        <v>46130</v>
      </c>
      <c r="W25" s="36">
        <v>46131</v>
      </c>
      <c r="X25" s="36">
        <v>46132</v>
      </c>
      <c r="Y25" s="36">
        <v>46133</v>
      </c>
      <c r="Z25" s="36">
        <v>46134</v>
      </c>
      <c r="AA25" s="36">
        <v>46135</v>
      </c>
      <c r="AB25" s="36">
        <v>46136</v>
      </c>
      <c r="AC25" s="36">
        <v>46137</v>
      </c>
      <c r="AD25" s="36">
        <v>46138</v>
      </c>
      <c r="AE25" s="36">
        <v>46139</v>
      </c>
      <c r="AF25" s="36">
        <v>46140</v>
      </c>
      <c r="AG25" s="36">
        <v>46141</v>
      </c>
      <c r="AH25" s="36">
        <v>46142</v>
      </c>
      <c r="AI25" s="36"/>
      <c r="AJ25" s="47" t="s">
        <v>256</v>
      </c>
      <c r="AK25" s="48" t="s">
        <v>257</v>
      </c>
      <c r="AL25" s="49" t="s">
        <v>8</v>
      </c>
    </row>
    <row r="26" spans="4:38" ht="15" customHeight="1" x14ac:dyDescent="0.25">
      <c r="D26" s="41" t="s">
        <v>109</v>
      </c>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8"/>
      <c r="AJ26" s="50">
        <f>+SUM(E26:AI26)</f>
        <v>0</v>
      </c>
      <c r="AK26" s="51"/>
      <c r="AL26" s="51">
        <f>+AJ26*AK26</f>
        <v>0</v>
      </c>
    </row>
    <row r="27" spans="4:38" ht="15" customHeight="1" x14ac:dyDescent="0.25">
      <c r="D27" s="41" t="s">
        <v>108</v>
      </c>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8"/>
      <c r="AJ27" s="50">
        <f t="shared" ref="AJ27:AJ28" si="6">+SUM(E27:AI27)</f>
        <v>0</v>
      </c>
      <c r="AK27" s="51"/>
      <c r="AL27" s="51">
        <f t="shared" ref="AL27:AL28" si="7">+AJ27*AK27</f>
        <v>0</v>
      </c>
    </row>
    <row r="28" spans="4:38" ht="15" customHeight="1" x14ac:dyDescent="0.25">
      <c r="D28" s="41" t="s">
        <v>253</v>
      </c>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8"/>
      <c r="AJ28" s="50">
        <f t="shared" si="6"/>
        <v>0</v>
      </c>
      <c r="AK28" s="51"/>
      <c r="AL28" s="51">
        <f t="shared" si="7"/>
        <v>0</v>
      </c>
    </row>
    <row r="29" spans="4:38" ht="18.75" x14ac:dyDescent="0.3">
      <c r="D29" s="123" t="s">
        <v>261</v>
      </c>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5"/>
      <c r="AL29" s="52">
        <f>SUM(AL26:AL28)</f>
        <v>0</v>
      </c>
    </row>
    <row r="30" spans="4:38" ht="15.75" customHeight="1" x14ac:dyDescent="0.25"/>
    <row r="31" spans="4:38" ht="65.25" customHeight="1" x14ac:dyDescent="0.25">
      <c r="D31" s="35">
        <v>46143</v>
      </c>
      <c r="E31" s="36">
        <v>46143</v>
      </c>
      <c r="F31" s="36">
        <v>46144</v>
      </c>
      <c r="G31" s="36">
        <v>46145</v>
      </c>
      <c r="H31" s="36">
        <v>46146</v>
      </c>
      <c r="I31" s="36">
        <v>46147</v>
      </c>
      <c r="J31" s="36">
        <v>46148</v>
      </c>
      <c r="K31" s="36">
        <v>46149</v>
      </c>
      <c r="L31" s="36">
        <v>46150</v>
      </c>
      <c r="M31" s="36">
        <v>46151</v>
      </c>
      <c r="N31" s="36">
        <v>46152</v>
      </c>
      <c r="O31" s="36">
        <v>46153</v>
      </c>
      <c r="P31" s="36">
        <v>46154</v>
      </c>
      <c r="Q31" s="36">
        <v>46155</v>
      </c>
      <c r="R31" s="36">
        <v>46156</v>
      </c>
      <c r="S31" s="36">
        <v>46157</v>
      </c>
      <c r="T31" s="36">
        <v>46158</v>
      </c>
      <c r="U31" s="36">
        <v>46159</v>
      </c>
      <c r="V31" s="36">
        <v>46160</v>
      </c>
      <c r="W31" s="36">
        <v>46161</v>
      </c>
      <c r="X31" s="36">
        <v>46162</v>
      </c>
      <c r="Y31" s="36">
        <v>46163</v>
      </c>
      <c r="Z31" s="36">
        <v>46164</v>
      </c>
      <c r="AA31" s="36">
        <v>46165</v>
      </c>
      <c r="AB31" s="36">
        <v>46166</v>
      </c>
      <c r="AC31" s="36">
        <v>46167</v>
      </c>
      <c r="AD31" s="36">
        <v>46168</v>
      </c>
      <c r="AE31" s="36">
        <v>46169</v>
      </c>
      <c r="AF31" s="36">
        <v>46170</v>
      </c>
      <c r="AG31" s="36">
        <v>46171</v>
      </c>
      <c r="AH31" s="36">
        <v>46172</v>
      </c>
      <c r="AI31" s="36">
        <v>46173</v>
      </c>
      <c r="AJ31" s="47" t="s">
        <v>256</v>
      </c>
      <c r="AK31" s="48" t="s">
        <v>257</v>
      </c>
      <c r="AL31" s="49" t="s">
        <v>8</v>
      </c>
    </row>
    <row r="32" spans="4:38" ht="15" customHeight="1" x14ac:dyDescent="0.25">
      <c r="D32" s="41" t="s">
        <v>109</v>
      </c>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8"/>
      <c r="AJ32" s="50">
        <f>+SUM(E32:AI32)</f>
        <v>0</v>
      </c>
      <c r="AK32" s="51"/>
      <c r="AL32" s="51">
        <f>+AJ32*AK32</f>
        <v>0</v>
      </c>
    </row>
    <row r="33" spans="4:38" ht="15" customHeight="1" x14ac:dyDescent="0.25">
      <c r="D33" s="41" t="s">
        <v>108</v>
      </c>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8"/>
      <c r="AJ33" s="50">
        <f t="shared" ref="AJ33:AJ34" si="8">+SUM(E33:AI33)</f>
        <v>0</v>
      </c>
      <c r="AK33" s="51"/>
      <c r="AL33" s="51">
        <f t="shared" ref="AL33:AL34" si="9">+AJ33*AK33</f>
        <v>0</v>
      </c>
    </row>
    <row r="34" spans="4:38" ht="15" customHeight="1" x14ac:dyDescent="0.25">
      <c r="D34" s="41" t="s">
        <v>253</v>
      </c>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8"/>
      <c r="AJ34" s="50">
        <f t="shared" si="8"/>
        <v>0</v>
      </c>
      <c r="AK34" s="51"/>
      <c r="AL34" s="51">
        <f t="shared" si="9"/>
        <v>0</v>
      </c>
    </row>
    <row r="35" spans="4:38" ht="18.75" x14ac:dyDescent="0.3">
      <c r="D35" s="123" t="s">
        <v>262</v>
      </c>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5"/>
      <c r="AL35" s="52">
        <f>SUM(AL32:AL34)</f>
        <v>0</v>
      </c>
    </row>
    <row r="36" spans="4:38" ht="15.75" customHeight="1" x14ac:dyDescent="0.25"/>
    <row r="37" spans="4:38" ht="15.75" customHeight="1" x14ac:dyDescent="0.25"/>
    <row r="38" spans="4:38" ht="15.75" customHeight="1" x14ac:dyDescent="0.25"/>
    <row r="39" spans="4:38" ht="15.75" customHeight="1" x14ac:dyDescent="0.25"/>
    <row r="40" spans="4:38" ht="15.75" customHeight="1" x14ac:dyDescent="0.25"/>
    <row r="41" spans="4:38" ht="15.75" customHeight="1" x14ac:dyDescent="0.25"/>
    <row r="42" spans="4:38" ht="15.75" customHeight="1" x14ac:dyDescent="0.25"/>
    <row r="43" spans="4:38" ht="15.75" customHeight="1" x14ac:dyDescent="0.25"/>
    <row r="44" spans="4:38" ht="15.75" customHeight="1" x14ac:dyDescent="0.25"/>
    <row r="45" spans="4:38" ht="15.75" customHeight="1" x14ac:dyDescent="0.25"/>
    <row r="46" spans="4:38" ht="15.75" customHeight="1" x14ac:dyDescent="0.25"/>
    <row r="47" spans="4:38" ht="15.75" customHeight="1" x14ac:dyDescent="0.25"/>
    <row r="48" spans="4:3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sheetData>
  <mergeCells count="5">
    <mergeCell ref="D35:AK35"/>
    <mergeCell ref="D11:AK11"/>
    <mergeCell ref="D17:AK17"/>
    <mergeCell ref="D23:AK23"/>
    <mergeCell ref="D29:AK29"/>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9</vt:i4>
      </vt:variant>
    </vt:vector>
  </HeadingPairs>
  <TitlesOfParts>
    <vt:vector size="9" baseType="lpstr">
      <vt:lpstr>DONE</vt:lpstr>
      <vt:lpstr>ANA SAYFA</vt:lpstr>
      <vt:lpstr>FATURALAR</vt:lpstr>
      <vt:lpstr>GELİR İCMAL</vt:lpstr>
      <vt:lpstr>GİDER İCMAL</vt:lpstr>
      <vt:lpstr>GELEN İŞLER</vt:lpstr>
      <vt:lpstr>GİDEN İŞLER</vt:lpstr>
      <vt:lpstr>EKB HİZMET BEDELİ 2026</vt:lpstr>
      <vt:lpstr>YEMEK TAKİBİ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Cem</dc:creator>
  <cp:lastModifiedBy>ADEM-PC</cp:lastModifiedBy>
  <cp:lastPrinted>2026-02-06T09:13:22Z</cp:lastPrinted>
  <dcterms:created xsi:type="dcterms:W3CDTF">2015-06-05T18:19:34Z</dcterms:created>
  <dcterms:modified xsi:type="dcterms:W3CDTF">2026-02-11T10:47:20Z</dcterms:modified>
</cp:coreProperties>
</file>